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물성전체" sheetId="1" state="visible" r:id="rId1"/>
    <sheet name="균질화검증" sheetId="2" state="visible" r:id="rId2"/>
    <sheet name="검증요약" sheetId="3" state="visible" r:id="rId3"/>
  </sheets>
  <definedNames>
    <definedName name="_xlnm._FilterDatabase" localSheetId="0" hidden="1">'물성전체'!$A$5:$H$107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00"/>
    <numFmt numFmtId="165" formatCode="#,##0.00####"/>
    <numFmt numFmtId="166" formatCode="0.000000"/>
    <numFmt numFmtId="167" formatCode="0.000000E+00"/>
    <numFmt numFmtId="168" formatCode="#,##0.0"/>
    <numFmt numFmtId="169" formatCode="0.0&quot;%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i val="1"/>
      <sz val="9"/>
    </font>
    <font>
      <name val="Arial"/>
      <color rgb="000000FF"/>
      <sz val="10"/>
    </font>
    <font>
      <name val="Arial"/>
      <b val="1"/>
      <color rgb="00C00000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11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0" fontId="7" fillId="0" borderId="1" pivotButton="0" quotePrefix="0" xfId="0"/>
    <xf numFmtId="165" fontId="10" fillId="0" borderId="1" pivotButton="0" quotePrefix="0" xfId="0"/>
    <xf numFmtId="0" fontId="7" fillId="0" borderId="1" applyAlignment="1" pivotButton="0" quotePrefix="0" xfId="0">
      <alignment horizontal="center"/>
    </xf>
    <xf numFmtId="0" fontId="6" fillId="0" borderId="1" pivotButton="0" quotePrefix="0" xfId="0"/>
    <xf numFmtId="164" fontId="7" fillId="0" borderId="1" pivotButton="0" quotePrefix="0" xfId="0"/>
    <xf numFmtId="166" fontId="7" fillId="0" borderId="1" pivotButton="0" quotePrefix="0" xfId="0"/>
    <xf numFmtId="11" fontId="10" fillId="0" borderId="1" pivotButton="0" quotePrefix="0" xfId="0"/>
    <xf numFmtId="167" fontId="7" fillId="0" borderId="1" pivotButton="0" quotePrefix="0" xfId="0"/>
    <xf numFmtId="0" fontId="6" fillId="0" borderId="0" pivotButton="0" quotePrefix="0" xfId="0"/>
    <xf numFmtId="0" fontId="6" fillId="4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6" fillId="4" borderId="1" pivotButton="0" quotePrefix="0" xfId="0"/>
    <xf numFmtId="0" fontId="6" fillId="8" borderId="1" pivotButton="0" quotePrefix="0" xfId="0"/>
    <xf numFmtId="0" fontId="6" fillId="7" borderId="1" pivotButton="0" quotePrefix="0" xfId="0"/>
    <xf numFmtId="0" fontId="6" fillId="6" borderId="1" pivotButton="0" quotePrefix="0" xfId="0"/>
    <xf numFmtId="0" fontId="6" fillId="5" borderId="1" pivotButton="0" quotePrefix="0" xfId="0"/>
    <xf numFmtId="0" fontId="6" fillId="0" borderId="1" applyAlignment="1" pivotButton="0" quotePrefix="0" xfId="0">
      <alignment horizontal="center"/>
    </xf>
    <xf numFmtId="0" fontId="11" fillId="0" borderId="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0" customWidth="1" min="4" max="4"/>
    <col width="11" customWidth="1" min="5" max="5"/>
    <col width="40" customWidth="1" min="6" max="6"/>
    <col width="11" customWidth="1" min="7" max="7"/>
    <col width="56" customWidth="1" min="8" max="8"/>
  </cols>
  <sheetData>
    <row r="1">
      <c r="A1" s="1" t="inlineStr">
        <is>
          <t>C/SiC 평직 복합재 UMAT 물성 대장</t>
        </is>
      </c>
    </row>
    <row r="2">
      <c r="A2" s="2" t="inlineStr">
        <is>
          <t>재현 대상: Zhang et al. 2022, Ceram. Int. 48:3109-3124</t>
        </is>
      </c>
    </row>
    <row r="3">
      <c r="A3" s="3" t="inlineStr">
        <is>
          <t>상태 구분  |  검증완료: 논문 직접 인용 또는 유도 후 수치 재검증 완료  |  보정값: 논문에 없어 Table 3 에 맞춰 역보정  |  임시값: 논문에 없고 미보정  |  수치설정: 물성이 아닌 수치해석 파라미터  |  미검증: 논문과 다르며 영향 미확인</t>
        </is>
      </c>
    </row>
    <row r="5">
      <c r="A5" s="4" t="inlineStr">
        <is>
          <t>구분</t>
        </is>
      </c>
      <c r="B5" s="4" t="inlineStr">
        <is>
          <t>물성 이름</t>
        </is>
      </c>
      <c r="C5" s="4" t="inlineStr">
        <is>
          <t>기능</t>
        </is>
      </c>
      <c r="D5" s="4" t="inlineStr">
        <is>
          <t>값</t>
        </is>
      </c>
      <c r="E5" s="4" t="inlineStr">
        <is>
          <t>단위</t>
        </is>
      </c>
      <c r="F5" s="4" t="inlineStr">
        <is>
          <t>출처</t>
        </is>
      </c>
      <c r="G5" s="4" t="inlineStr">
        <is>
          <t>상태</t>
        </is>
      </c>
      <c r="H5" s="4" t="inlineStr">
        <is>
          <t>비고</t>
        </is>
      </c>
    </row>
    <row r="6">
      <c r="A6" s="5" t="inlineStr">
        <is>
          <t>A. T300 섬유 (논문 Table 1)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7" t="inlineStr">
        <is>
          <t>A</t>
        </is>
      </c>
      <c r="B7" s="8" t="inlineStr">
        <is>
          <t>Ef1</t>
        </is>
      </c>
      <c r="C7" s="9" t="inlineStr">
        <is>
          <t>섬유 축(1)방향 탄성계수</t>
        </is>
      </c>
      <c r="D7" s="10" t="n">
        <v>230</v>
      </c>
      <c r="E7" s="7" t="inlineStr">
        <is>
          <t>GPa</t>
        </is>
      </c>
      <c r="F7" s="9" t="inlineStr">
        <is>
          <t>Zhang et al. 2022, Ceram. Int. 48:3109-3124 Table 1 [34,35]</t>
        </is>
      </c>
      <c r="G7" s="11" t="inlineStr">
        <is>
          <t>검증완료</t>
        </is>
      </c>
      <c r="H7" s="9" t="inlineStr">
        <is>
          <t>논문 직접 인용</t>
        </is>
      </c>
    </row>
    <row r="8">
      <c r="A8" s="7" t="inlineStr">
        <is>
          <t>A</t>
        </is>
      </c>
      <c r="B8" s="8" t="inlineStr">
        <is>
          <t>Ef2</t>
        </is>
      </c>
      <c r="C8" s="9" t="inlineStr">
        <is>
          <t>섬유 횡(2,3)방향 탄성계수</t>
        </is>
      </c>
      <c r="D8" s="10" t="n">
        <v>40</v>
      </c>
      <c r="E8" s="7" t="inlineStr">
        <is>
          <t>GPa</t>
        </is>
      </c>
      <c r="F8" s="9" t="inlineStr">
        <is>
          <t>Zhang et al. 2022, Ceram. Int. 48:3109-3124 Table 1</t>
        </is>
      </c>
      <c r="G8" s="11" t="inlineStr">
        <is>
          <t>검증완료</t>
        </is>
      </c>
      <c r="H8" s="9" t="inlineStr">
        <is>
          <t>논문 직접 인용</t>
        </is>
      </c>
    </row>
    <row r="9">
      <c r="A9" s="7" t="inlineStr">
        <is>
          <t>A</t>
        </is>
      </c>
      <c r="B9" s="8" t="inlineStr">
        <is>
          <t>Gf12</t>
        </is>
      </c>
      <c r="C9" s="9" t="inlineStr">
        <is>
          <t>섬유 면내 전단탄성계수</t>
        </is>
      </c>
      <c r="D9" s="10" t="n">
        <v>24</v>
      </c>
      <c r="E9" s="7" t="inlineStr">
        <is>
          <t>GPa</t>
        </is>
      </c>
      <c r="F9" s="9" t="inlineStr">
        <is>
          <t>Zhang et al. 2022, Ceram. Int. 48:3109-3124 Table 1</t>
        </is>
      </c>
      <c r="G9" s="11" t="inlineStr">
        <is>
          <t>검증완료</t>
        </is>
      </c>
      <c r="H9" s="9" t="inlineStr">
        <is>
          <t>논문 직접 인용</t>
        </is>
      </c>
    </row>
    <row r="10">
      <c r="A10" s="7" t="inlineStr">
        <is>
          <t>A</t>
        </is>
      </c>
      <c r="B10" s="8" t="inlineStr">
        <is>
          <t>Gf23</t>
        </is>
      </c>
      <c r="C10" s="9" t="inlineStr">
        <is>
          <t>섬유 횡방향 전단탄성계수</t>
        </is>
      </c>
      <c r="D10" s="10" t="n">
        <v>14.3</v>
      </c>
      <c r="E10" s="7" t="inlineStr">
        <is>
          <t>GPa</t>
        </is>
      </c>
      <c r="F10" s="9" t="inlineStr">
        <is>
          <t>Zhang et al. 2022, Ceram. Int. 48:3109-3124 Table 1</t>
        </is>
      </c>
      <c r="G10" s="11" t="inlineStr">
        <is>
          <t>검증완료</t>
        </is>
      </c>
      <c r="H10" s="9" t="inlineStr">
        <is>
          <t>논문 직접 인용</t>
        </is>
      </c>
    </row>
    <row r="11">
      <c r="A11" s="7" t="inlineStr">
        <is>
          <t>A</t>
        </is>
      </c>
      <c r="B11" s="8" t="inlineStr">
        <is>
          <t>nu_f12</t>
        </is>
      </c>
      <c r="C11" s="9" t="inlineStr">
        <is>
          <t>섬유 주 포아송비</t>
        </is>
      </c>
      <c r="D11" s="10" t="n">
        <v>0.26</v>
      </c>
      <c r="E11" s="7" t="inlineStr">
        <is>
          <t>-</t>
        </is>
      </c>
      <c r="F11" s="9" t="inlineStr">
        <is>
          <t>Zhang et al. 2022, Ceram. Int. 48:3109-3124 Table 1</t>
        </is>
      </c>
      <c r="G11" s="11" t="inlineStr">
        <is>
          <t>검증완료</t>
        </is>
      </c>
      <c r="H11" s="9" t="inlineStr">
        <is>
          <t>논문 직접 인용</t>
        </is>
      </c>
    </row>
    <row r="12">
      <c r="A12" s="7" t="inlineStr">
        <is>
          <t>A</t>
        </is>
      </c>
      <c r="B12" s="8" t="inlineStr">
        <is>
          <t>Xf,t</t>
        </is>
      </c>
      <c r="C12" s="9" t="inlineStr">
        <is>
          <t>섬유 축방향 인장강도</t>
        </is>
      </c>
      <c r="D12" s="10" t="n">
        <v>3580</v>
      </c>
      <c r="E12" s="7" t="inlineStr">
        <is>
          <t>MPa</t>
        </is>
      </c>
      <c r="F12" s="9" t="inlineStr">
        <is>
          <t>Zhang et al. 2022, Ceram. Int. 48:3109-3124 Table 1</t>
        </is>
      </c>
      <c r="G12" s="11" t="inlineStr">
        <is>
          <t>검증완료</t>
        </is>
      </c>
      <c r="H12" s="9" t="inlineStr">
        <is>
          <t>얀 강도 환산의 상한 기준</t>
        </is>
      </c>
    </row>
    <row r="13">
      <c r="A13" s="7" t="inlineStr">
        <is>
          <t>A</t>
        </is>
      </c>
      <c r="B13" s="8" t="inlineStr">
        <is>
          <t>Xf,c</t>
        </is>
      </c>
      <c r="C13" s="9" t="inlineStr">
        <is>
          <t>섬유 축방향 압축강도</t>
        </is>
      </c>
      <c r="D13" s="10" t="n">
        <v>2470</v>
      </c>
      <c r="E13" s="7" t="inlineStr">
        <is>
          <t>MPa</t>
        </is>
      </c>
      <c r="F13" s="9" t="inlineStr">
        <is>
          <t>Zhang et al. 2022, Ceram. Int. 48:3109-3124 Table 1</t>
        </is>
      </c>
      <c r="G13" s="11" t="inlineStr">
        <is>
          <t>검증완료</t>
        </is>
      </c>
      <c r="H13" s="9" t="inlineStr">
        <is>
          <t>논문 직접 인용</t>
        </is>
      </c>
    </row>
    <row r="14">
      <c r="A14" s="7" t="inlineStr">
        <is>
          <t>A</t>
        </is>
      </c>
      <c r="B14" s="8" t="inlineStr">
        <is>
          <t>alpha_f1</t>
        </is>
      </c>
      <c r="C14" s="9" t="inlineStr">
        <is>
          <t>섬유 축방향 열팽창계수</t>
        </is>
      </c>
      <c r="D14" s="12" t="n">
        <v>-3e-07</v>
      </c>
      <c r="E14" s="7" t="inlineStr">
        <is>
          <t>1/K</t>
        </is>
      </c>
      <c r="F14" s="9" t="inlineStr">
        <is>
          <t>Zhang et al. 2022, Ceram. Int. 48:3109-3124 Table 1</t>
        </is>
      </c>
      <c r="G14" s="11" t="inlineStr">
        <is>
          <t>검증완료</t>
        </is>
      </c>
      <c r="H14" s="9" t="inlineStr">
        <is>
          <t>음수. 기지와의 불일치가 잔류응력 원인</t>
        </is>
      </c>
    </row>
    <row r="15">
      <c r="A15" s="7" t="inlineStr">
        <is>
          <t>A</t>
        </is>
      </c>
      <c r="B15" s="8" t="inlineStr">
        <is>
          <t>alpha_f2(3)</t>
        </is>
      </c>
      <c r="C15" s="9" t="inlineStr">
        <is>
          <t>섬유 횡방향 열팽창계수</t>
        </is>
      </c>
      <c r="D15" s="12" t="n">
        <v>3.1e-06</v>
      </c>
      <c r="E15" s="7" t="inlineStr">
        <is>
          <t>1/K</t>
        </is>
      </c>
      <c r="F15" s="9" t="inlineStr">
        <is>
          <t>Zhang et al. 2022, Ceram. Int. 48:3109-3124 Table 1</t>
        </is>
      </c>
      <c r="G15" s="11" t="inlineStr">
        <is>
          <t>검증완료</t>
        </is>
      </c>
      <c r="H15" s="9" t="inlineStr">
        <is>
          <t>논문 직접 인용</t>
        </is>
      </c>
    </row>
    <row r="16">
      <c r="A16" s="5" t="inlineStr">
        <is>
          <t>B. SiC 기지 (논문 Table 2)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s="7" t="inlineStr">
        <is>
          <t>B</t>
        </is>
      </c>
      <c r="B17" s="8" t="inlineStr">
        <is>
          <t>Em</t>
        </is>
      </c>
      <c r="C17" s="9" t="inlineStr">
        <is>
          <t>기지 탄성계수</t>
        </is>
      </c>
      <c r="D17" s="10" t="n">
        <v>350</v>
      </c>
      <c r="E17" s="7" t="inlineStr">
        <is>
          <t>GPa</t>
        </is>
      </c>
      <c r="F17" s="9" t="inlineStr">
        <is>
          <t>Zhang et al. 2022, Ceram. Int. 48:3109-3124 Table 2 [35-37]</t>
        </is>
      </c>
      <c r="G17" s="11" t="inlineStr">
        <is>
          <t>검증완료</t>
        </is>
      </c>
      <c r="H17" s="9" t="inlineStr">
        <is>
          <t>논문 직접 인용</t>
        </is>
      </c>
    </row>
    <row r="18">
      <c r="A18" s="7" t="inlineStr">
        <is>
          <t>B</t>
        </is>
      </c>
      <c r="B18" s="8" t="inlineStr">
        <is>
          <t>Gm</t>
        </is>
      </c>
      <c r="C18" s="9" t="inlineStr">
        <is>
          <t>기지 전단탄성계수</t>
        </is>
      </c>
      <c r="D18" s="10" t="n">
        <v>146</v>
      </c>
      <c r="E18" s="7" t="inlineStr">
        <is>
          <t>GPa</t>
        </is>
      </c>
      <c r="F18" s="9" t="inlineStr">
        <is>
          <t>Zhang et al. 2022, Ceram. Int. 48:3109-3124 Table 2</t>
        </is>
      </c>
      <c r="G18" s="11" t="inlineStr">
        <is>
          <t>검증완료</t>
        </is>
      </c>
      <c r="H18" s="9" t="inlineStr">
        <is>
          <t>E/(2(1+nu))=145.83 과 0.11% 일치 (자기무모순 확인)</t>
        </is>
      </c>
    </row>
    <row r="19">
      <c r="A19" s="7" t="inlineStr">
        <is>
          <t>B</t>
        </is>
      </c>
      <c r="B19" s="8" t="inlineStr">
        <is>
          <t>nu_m</t>
        </is>
      </c>
      <c r="C19" s="9" t="inlineStr">
        <is>
          <t>기지 포아송비</t>
        </is>
      </c>
      <c r="D19" s="10" t="n">
        <v>0.2</v>
      </c>
      <c r="E19" s="7" t="inlineStr">
        <is>
          <t>-</t>
        </is>
      </c>
      <c r="F19" s="9" t="inlineStr">
        <is>
          <t>Zhang et al. 2022, Ceram. Int. 48:3109-3124 Table 2</t>
        </is>
      </c>
      <c r="G19" s="11" t="inlineStr">
        <is>
          <t>검증완료</t>
        </is>
      </c>
      <c r="H19" s="9" t="inlineStr">
        <is>
          <t>논문 직접 인용</t>
        </is>
      </c>
    </row>
    <row r="20">
      <c r="A20" s="7" t="inlineStr">
        <is>
          <t>B</t>
        </is>
      </c>
      <c r="B20" s="8" t="inlineStr">
        <is>
          <t>Xm,t(c)</t>
        </is>
      </c>
      <c r="C20" s="9" t="inlineStr">
        <is>
          <t>기지 인장=압축 강도</t>
        </is>
      </c>
      <c r="D20" s="10" t="n">
        <v>310</v>
      </c>
      <c r="E20" s="7" t="inlineStr">
        <is>
          <t>MPa</t>
        </is>
      </c>
      <c r="F20" s="9" t="inlineStr">
        <is>
          <t>Zhang et al. 2022, Ceram. Int. 48:3109-3124 Table 2</t>
        </is>
      </c>
      <c r="G20" s="11" t="inlineStr">
        <is>
          <t>검증완료</t>
        </is>
      </c>
      <c r="H20" s="9" t="inlineStr">
        <is>
          <t>논문이 인장·압축에 같은 값 하나만 제시</t>
        </is>
      </c>
    </row>
    <row r="21">
      <c r="A21" s="7" t="inlineStr">
        <is>
          <t>B</t>
        </is>
      </c>
      <c r="B21" s="8" t="inlineStr">
        <is>
          <t>alpha_m</t>
        </is>
      </c>
      <c r="C21" s="9" t="inlineStr">
        <is>
          <t>기지 열팽창계수</t>
        </is>
      </c>
      <c r="D21" s="12" t="n">
        <v>4.5e-06</v>
      </c>
      <c r="E21" s="7" t="inlineStr">
        <is>
          <t>1/K</t>
        </is>
      </c>
      <c r="F21" s="9" t="inlineStr">
        <is>
          <t>Zhang et al. 2022, Ceram. Int. 48:3109-3124 Table 2</t>
        </is>
      </c>
      <c r="G21" s="11" t="inlineStr">
        <is>
          <t>검증완료</t>
        </is>
      </c>
      <c r="H21" s="9" t="inlineStr">
        <is>
          <t>온도무관 상수 (논문 3.2.3)</t>
        </is>
      </c>
    </row>
    <row r="22">
      <c r="A22" s="5" t="inlineStr">
        <is>
          <t>C. RVE 형상 · 체적분율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s="7" t="inlineStr">
        <is>
          <t>C</t>
        </is>
      </c>
      <c r="B23" s="8" t="inlineStr">
        <is>
          <t>Lx</t>
        </is>
      </c>
      <c r="C23" s="9" t="inlineStr">
        <is>
          <t>RVE x 방향 치수</t>
        </is>
      </c>
      <c r="D23" s="10" t="n">
        <v>3.5</v>
      </c>
      <c r="E23" s="7" t="inlineStr">
        <is>
          <t>mm</t>
        </is>
      </c>
      <c r="F23" s="9" t="inlineStr">
        <is>
          <t>Zhang et al. 2022, Ceram. Int. 48:3109-3124 3.2.1</t>
        </is>
      </c>
      <c r="G23" s="11" t="inlineStr">
        <is>
          <t>검증완료</t>
        </is>
      </c>
      <c r="H23" s="9" t="inlineStr">
        <is>
          <t>논문과 동일</t>
        </is>
      </c>
    </row>
    <row r="24">
      <c r="A24" s="7" t="inlineStr">
        <is>
          <t>C</t>
        </is>
      </c>
      <c r="B24" s="8" t="inlineStr">
        <is>
          <t>Ly</t>
        </is>
      </c>
      <c r="C24" s="9" t="inlineStr">
        <is>
          <t>RVE y 방향 치수</t>
        </is>
      </c>
      <c r="D24" s="10" t="n">
        <v>3.5</v>
      </c>
      <c r="E24" s="7" t="inlineStr">
        <is>
          <t>mm</t>
        </is>
      </c>
      <c r="F24" s="9" t="inlineStr">
        <is>
          <t>Zhang et al. 2022, Ceram. Int. 48:3109-3124 3.2.1</t>
        </is>
      </c>
      <c r="G24" s="11" t="inlineStr">
        <is>
          <t>검증완료</t>
        </is>
      </c>
      <c r="H24" s="9" t="inlineStr">
        <is>
          <t>논문과 동일</t>
        </is>
      </c>
    </row>
    <row r="25">
      <c r="A25" s="7" t="inlineStr">
        <is>
          <t>C</t>
        </is>
      </c>
      <c r="B25" s="8" t="inlineStr">
        <is>
          <t>Lz</t>
        </is>
      </c>
      <c r="C25" s="9" t="inlineStr">
        <is>
          <t>RVE 두께</t>
        </is>
      </c>
      <c r="D25" s="10" t="n">
        <v>0.44</v>
      </c>
      <c r="E25" s="7" t="inlineStr">
        <is>
          <t>mm</t>
        </is>
      </c>
      <c r="F25" s="9" t="inlineStr">
        <is>
          <t>자체 TexGen 모델</t>
        </is>
      </c>
      <c r="G25" s="13" t="inlineStr">
        <is>
          <t>미검증</t>
        </is>
      </c>
      <c r="H25" s="9" t="inlineStr">
        <is>
          <t>논문은 0.4334 mm. 1.5% 차이 (영향 경미로 판단)</t>
        </is>
      </c>
    </row>
    <row r="26">
      <c r="A26" s="7" t="inlineStr">
        <is>
          <t>C</t>
        </is>
      </c>
      <c r="B26" s="8" t="inlineStr">
        <is>
          <t>타원 장축</t>
        </is>
      </c>
      <c r="C26" s="9" t="inlineStr">
        <is>
          <t>얀 단면 타원 장축</t>
        </is>
      </c>
      <c r="D26" s="10" t="n">
        <v>1.28</v>
      </c>
      <c r="E26" s="7" t="inlineStr">
        <is>
          <t>mm</t>
        </is>
      </c>
      <c r="F26" s="9" t="inlineStr">
        <is>
          <t>Zhang et al. 2022, Ceram. Int. 48:3109-3124 3.2.1</t>
        </is>
      </c>
      <c r="G26" s="11" t="inlineStr">
        <is>
          <t>검증완료</t>
        </is>
      </c>
      <c r="H26" s="9" t="inlineStr">
        <is>
          <t>논문과 동일</t>
        </is>
      </c>
    </row>
    <row r="27">
      <c r="A27" s="7" t="inlineStr">
        <is>
          <t>C</t>
        </is>
      </c>
      <c r="B27" s="8" t="inlineStr">
        <is>
          <t>타원 단축</t>
        </is>
      </c>
      <c r="C27" s="9" t="inlineStr">
        <is>
          <t>얀 단면 타원 단축</t>
        </is>
      </c>
      <c r="D27" s="10" t="n">
        <v>0.2</v>
      </c>
      <c r="E27" s="7" t="inlineStr">
        <is>
          <t>mm</t>
        </is>
      </c>
      <c r="F27" s="9" t="inlineStr">
        <is>
          <t>Zhang et al. 2022, Ceram. Int. 48:3109-3124 3.2.1</t>
        </is>
      </c>
      <c r="G27" s="11" t="inlineStr">
        <is>
          <t>검증완료</t>
        </is>
      </c>
      <c r="H27" s="9" t="inlineStr">
        <is>
          <t>논문과 동일</t>
        </is>
      </c>
    </row>
    <row r="28">
      <c r="A28" s="7" t="inlineStr">
        <is>
          <t>C</t>
        </is>
      </c>
      <c r="B28" s="8" t="inlineStr">
        <is>
          <t>V_RVE</t>
        </is>
      </c>
      <c r="C28" s="9" t="inlineStr">
        <is>
          <t>RVE 총 체적</t>
        </is>
      </c>
      <c r="D28" s="10" t="n">
        <v>5.39</v>
      </c>
      <c r="E28" s="7" t="inlineStr">
        <is>
          <t>mm^3</t>
        </is>
      </c>
      <c r="F28" s="9" t="inlineStr">
        <is>
          <t>메쉬 적분 (자체 검증)</t>
        </is>
      </c>
      <c r="G28" s="11" t="inlineStr">
        <is>
          <t>검증완료</t>
        </is>
      </c>
      <c r="H28" s="9" t="inlineStr">
        <is>
          <t>3.5 x 3.5 x 0.44 와 정확히 일치</t>
        </is>
      </c>
    </row>
    <row r="29">
      <c r="A29" s="7" t="inlineStr">
        <is>
          <t>C</t>
        </is>
      </c>
      <c r="B29" s="8" t="inlineStr">
        <is>
          <t>Vf_tow</t>
        </is>
      </c>
      <c r="C29" s="9" t="inlineStr">
        <is>
          <t>얀 내부 섬유체적분율</t>
        </is>
      </c>
      <c r="D29" s="10" t="n">
        <v>0.79194</v>
      </c>
      <c r="E29" s="7" t="inlineStr">
        <is>
          <t>-</t>
        </is>
      </c>
      <c r="F29" s="9" t="inlineStr">
        <is>
          <t>얀 물성 역산 (논문 미기재)</t>
        </is>
      </c>
      <c r="G29" s="11" t="inlineStr">
        <is>
          <t>검증완료</t>
        </is>
      </c>
      <c r="H29" s="9" t="inlineStr">
        <is>
          <t>이 값에서 전체 Vf=0.400 이 재현됨</t>
        </is>
      </c>
    </row>
    <row r="30">
      <c r="A30" s="7" t="inlineStr">
        <is>
          <t>C</t>
        </is>
      </c>
      <c r="B30" s="8" t="inlineStr">
        <is>
          <t>V_tow/V_RVE</t>
        </is>
      </c>
      <c r="C30" s="9" t="inlineStr">
        <is>
          <t>얀(tow) 체적분율</t>
        </is>
      </c>
      <c r="D30" s="10" t="n">
        <v>0.5051</v>
      </c>
      <c r="E30" s="7" t="inlineStr">
        <is>
          <t>-</t>
        </is>
      </c>
      <c r="F30" s="9" t="inlineStr">
        <is>
          <t>메쉬 적분</t>
        </is>
      </c>
      <c r="G30" s="11" t="inlineStr">
        <is>
          <t>검증완료</t>
        </is>
      </c>
      <c r="H30" s="9" t="inlineStr">
        <is>
          <t>자체 계산</t>
        </is>
      </c>
    </row>
    <row r="31">
      <c r="A31" s="7" t="inlineStr">
        <is>
          <t>C</t>
        </is>
      </c>
      <c r="B31" s="8" t="inlineStr">
        <is>
          <t>Vf_total</t>
        </is>
      </c>
      <c r="C31" s="9" t="inlineStr">
        <is>
          <t>전체 섬유체적분율</t>
        </is>
      </c>
      <c r="D31" s="10" t="n">
        <v>0.4</v>
      </c>
      <c r="E31" s="7" t="inlineStr">
        <is>
          <t>-</t>
        </is>
      </c>
      <c r="F31" s="9" t="inlineStr">
        <is>
          <t>0.79194 x 0.5051</t>
        </is>
      </c>
      <c r="G31" s="11" t="inlineStr">
        <is>
          <t>검증완료</t>
        </is>
      </c>
      <c r="H31" s="9" t="inlineStr">
        <is>
          <t>논문 명시값 40% 와 정확히 일치</t>
        </is>
      </c>
    </row>
    <row r="32">
      <c r="A32" s="7" t="inlineStr">
        <is>
          <t>C</t>
        </is>
      </c>
      <c r="B32" s="8" t="inlineStr">
        <is>
          <t>N_elem</t>
        </is>
      </c>
      <c r="C32" s="9" t="inlineStr">
        <is>
          <t>C3D4 요소 개수</t>
        </is>
      </c>
      <c r="D32" s="14" t="n">
        <v>174405</v>
      </c>
      <c r="E32" s="7" t="inlineStr">
        <is>
          <t>개</t>
        </is>
      </c>
      <c r="F32" s="9" t="inlineStr">
        <is>
          <t>자체 TexGen 메쉬</t>
        </is>
      </c>
      <c r="G32" s="13" t="inlineStr">
        <is>
          <t>미검증</t>
        </is>
      </c>
      <c r="H32" s="9" t="inlineStr">
        <is>
          <t>논문은 116,724개. 1.5배 조밀 (메쉬수렴성 미검증)</t>
        </is>
      </c>
    </row>
    <row r="33">
      <c r="A33" s="5" t="inlineStr">
        <is>
          <t>D. 얀 균질화 물성 (Chamis / Schapery)</t>
        </is>
      </c>
      <c r="B33" s="6" t="n"/>
      <c r="C33" s="6" t="n"/>
      <c r="D33" s="6" t="n"/>
      <c r="E33" s="6" t="n"/>
      <c r="F33" s="6" t="n"/>
      <c r="G33" s="6" t="n"/>
      <c r="H33" s="6" t="n"/>
    </row>
    <row r="34">
      <c r="A34" s="7" t="inlineStr">
        <is>
          <t>D</t>
        </is>
      </c>
      <c r="B34" s="8" t="inlineStr">
        <is>
          <t>Ey1</t>
        </is>
      </c>
      <c r="C34" s="9" t="inlineStr">
        <is>
          <t>얀 축방향 탄성계수</t>
        </is>
      </c>
      <c r="D34" s="10" t="n">
        <v>254967.228042</v>
      </c>
      <c r="E34" s="7" t="inlineStr">
        <is>
          <t>MPa</t>
        </is>
      </c>
      <c r="F34" s="9" t="inlineStr">
        <is>
          <t>Chamis 혼합법칙 [32]</t>
        </is>
      </c>
      <c r="G34" s="11" t="inlineStr">
        <is>
          <t>검증완료</t>
        </is>
      </c>
      <c r="H34" s="9" t="inlineStr">
        <is>
          <t>재계산 오차 -0.000011%</t>
        </is>
      </c>
    </row>
    <row r="35">
      <c r="A35" s="7" t="inlineStr">
        <is>
          <t>D</t>
        </is>
      </c>
      <c r="B35" s="8" t="inlineStr">
        <is>
          <t>Ey2</t>
        </is>
      </c>
      <c r="C35" s="9" t="inlineStr">
        <is>
          <t>얀 횡방향 탄성계수</t>
        </is>
      </c>
      <c r="D35" s="10" t="n">
        <v>44321.737572</v>
      </c>
      <c r="E35" s="7" t="inlineStr">
        <is>
          <t>MPa</t>
        </is>
      </c>
      <c r="F35" s="9" t="inlineStr">
        <is>
          <t>Chamis [32]</t>
        </is>
      </c>
      <c r="G35" s="11" t="inlineStr">
        <is>
          <t>검증완료</t>
        </is>
      </c>
      <c r="H35" s="9" t="inlineStr">
        <is>
          <t>재계산 오차 -0.000013%</t>
        </is>
      </c>
    </row>
    <row r="36">
      <c r="A36" s="7" t="inlineStr">
        <is>
          <t>D</t>
        </is>
      </c>
      <c r="B36" s="8" t="inlineStr">
        <is>
          <t>Ey3</t>
        </is>
      </c>
      <c r="C36" s="9" t="inlineStr">
        <is>
          <t>얀 횡방향 탄성계수</t>
        </is>
      </c>
      <c r="D36" s="10" t="n">
        <v>44321.737572</v>
      </c>
      <c r="E36" s="7" t="inlineStr">
        <is>
          <t>MPa</t>
        </is>
      </c>
      <c r="F36" s="9">
        <f> Ey2 (횡등방)</f>
        <v/>
      </c>
      <c r="G36" s="11" t="inlineStr">
        <is>
          <t>검증완료</t>
        </is>
      </c>
      <c r="H36" s="9" t="inlineStr">
        <is>
          <t>횡등방성 가정</t>
        </is>
      </c>
    </row>
    <row r="37">
      <c r="A37" s="7" t="inlineStr">
        <is>
          <t>D</t>
        </is>
      </c>
      <c r="B37" s="8" t="inlineStr">
        <is>
          <t>nu_y12</t>
        </is>
      </c>
      <c r="C37" s="9" t="inlineStr">
        <is>
          <t>얀 주 포아송비</t>
        </is>
      </c>
      <c r="D37" s="10" t="n">
        <v>0.247516386</v>
      </c>
      <c r="E37" s="7" t="inlineStr">
        <is>
          <t>-</t>
        </is>
      </c>
      <c r="F37" s="9" t="inlineStr">
        <is>
          <t>Chamis 혼합법칙</t>
        </is>
      </c>
      <c r="G37" s="11" t="inlineStr">
        <is>
          <t>검증완료</t>
        </is>
      </c>
      <c r="H37" s="9" t="inlineStr">
        <is>
          <t>재계산 오차 +0.000006%</t>
        </is>
      </c>
    </row>
    <row r="38">
      <c r="A38" s="7" t="inlineStr">
        <is>
          <t>D</t>
        </is>
      </c>
      <c r="B38" s="8" t="inlineStr">
        <is>
          <t>nu_y13</t>
        </is>
      </c>
      <c r="C38" s="9" t="inlineStr">
        <is>
          <t>얀 주 포아송비</t>
        </is>
      </c>
      <c r="D38" s="10" t="n">
        <v>0.247516386</v>
      </c>
      <c r="E38" s="7" t="inlineStr">
        <is>
          <t>-</t>
        </is>
      </c>
      <c r="F38" s="9">
        <f> nu_y12</f>
        <v/>
      </c>
      <c r="G38" s="11" t="inlineStr">
        <is>
          <t>검증완료</t>
        </is>
      </c>
      <c r="H38" s="9" t="inlineStr">
        <is>
          <t>횡등방성 가정</t>
        </is>
      </c>
    </row>
    <row r="39">
      <c r="A39" s="7" t="inlineStr">
        <is>
          <t>D</t>
        </is>
      </c>
      <c r="B39" s="8" t="inlineStr">
        <is>
          <t>nu_y23</t>
        </is>
      </c>
      <c r="C39" s="9" t="inlineStr">
        <is>
          <t>얀 횡방향 포아송비</t>
        </is>
      </c>
      <c r="D39" s="10" t="n">
        <v>0.395813581</v>
      </c>
      <c r="E39" s="7" t="inlineStr">
        <is>
          <t>-</t>
        </is>
      </c>
      <c r="F39" s="9" t="inlineStr">
        <is>
          <t>Ey2/(2Gy23)-1</t>
        </is>
      </c>
      <c r="G39" s="11" t="inlineStr">
        <is>
          <t>검증완료</t>
        </is>
      </c>
      <c r="H39" s="9" t="inlineStr">
        <is>
          <t>재계산 오차 +0.0048%</t>
        </is>
      </c>
    </row>
    <row r="40">
      <c r="A40" s="7" t="inlineStr">
        <is>
          <t>D</t>
        </is>
      </c>
      <c r="B40" s="8" t="inlineStr">
        <is>
          <t>Gy12</t>
        </is>
      </c>
      <c r="C40" s="9" t="inlineStr">
        <is>
          <t>얀 면내 전단탄성계수</t>
        </is>
      </c>
      <c r="D40" s="10" t="n">
        <v>26431.515264</v>
      </c>
      <c r="E40" s="7" t="inlineStr">
        <is>
          <t>MPa</t>
        </is>
      </c>
      <c r="F40" s="9" t="inlineStr">
        <is>
          <t>Chamis [32]</t>
        </is>
      </c>
      <c r="G40" s="11" t="inlineStr">
        <is>
          <t>검증완료</t>
        </is>
      </c>
      <c r="H40" s="9" t="inlineStr">
        <is>
          <t>재계산 오차 -0.0023%</t>
        </is>
      </c>
    </row>
    <row r="41">
      <c r="A41" s="7" t="inlineStr">
        <is>
          <t>D</t>
        </is>
      </c>
      <c r="B41" s="8" t="inlineStr">
        <is>
          <t>Gy13</t>
        </is>
      </c>
      <c r="C41" s="9" t="inlineStr">
        <is>
          <t>얀 면내 전단탄성계수</t>
        </is>
      </c>
      <c r="D41" s="10" t="n">
        <v>26431.515264</v>
      </c>
      <c r="E41" s="7" t="inlineStr">
        <is>
          <t>MPa</t>
        </is>
      </c>
      <c r="F41" s="9">
        <f> Gy12</f>
        <v/>
      </c>
      <c r="G41" s="11" t="inlineStr">
        <is>
          <t>검증완료</t>
        </is>
      </c>
      <c r="H41" s="9" t="inlineStr">
        <is>
          <t>횡등방성 가정</t>
        </is>
      </c>
    </row>
    <row r="42">
      <c r="A42" s="7" t="inlineStr">
        <is>
          <t>D</t>
        </is>
      </c>
      <c r="B42" s="8" t="inlineStr">
        <is>
          <t>Gy23</t>
        </is>
      </c>
      <c r="C42" s="9" t="inlineStr">
        <is>
          <t>얀 횡방향 전단탄성계수</t>
        </is>
      </c>
      <c r="D42" s="10" t="n">
        <v>15876.667974</v>
      </c>
      <c r="E42" s="7" t="inlineStr">
        <is>
          <t>MPa</t>
        </is>
      </c>
      <c r="F42" s="9" t="inlineStr">
        <is>
          <t>Chamis [32]</t>
        </is>
      </c>
      <c r="G42" s="11" t="inlineStr">
        <is>
          <t>검증완료</t>
        </is>
      </c>
      <c r="H42" s="9" t="inlineStr">
        <is>
          <t>재계산 오차 -0.0014%</t>
        </is>
      </c>
    </row>
    <row r="43">
      <c r="A43" s="7" t="inlineStr">
        <is>
          <t>D</t>
        </is>
      </c>
      <c r="B43" s="8" t="inlineStr">
        <is>
          <t>alpha_y1</t>
        </is>
      </c>
      <c r="C43" s="9" t="inlineStr">
        <is>
          <t>얀 축방향 열팽창계수</t>
        </is>
      </c>
      <c r="D43" s="12" t="n">
        <v>1.070925962822e-06</v>
      </c>
      <c r="E43" s="7" t="inlineStr">
        <is>
          <t>1/K</t>
        </is>
      </c>
      <c r="F43" s="9" t="inlineStr">
        <is>
          <t>Schapery 혼합법칙 [33]</t>
        </is>
      </c>
      <c r="G43" s="11" t="inlineStr">
        <is>
          <t>검증완료</t>
        </is>
      </c>
      <c r="H43" s="9" t="inlineStr">
        <is>
          <t>재계산 오차 -0.00013%</t>
        </is>
      </c>
    </row>
    <row r="44">
      <c r="A44" s="7" t="inlineStr">
        <is>
          <t>D</t>
        </is>
      </c>
      <c r="B44" s="8" t="inlineStr">
        <is>
          <t>alpha_y2</t>
        </is>
      </c>
      <c r="C44" s="9" t="inlineStr">
        <is>
          <t>얀 횡방향 열팽창계수</t>
        </is>
      </c>
      <c r="D44" s="12" t="n">
        <v>3.324908565604e-06</v>
      </c>
      <c r="E44" s="7" t="inlineStr">
        <is>
          <t>1/K</t>
        </is>
      </c>
      <c r="F44" s="9" t="inlineStr">
        <is>
          <t>Chamis CTE 식</t>
        </is>
      </c>
      <c r="G44" s="11" t="inlineStr">
        <is>
          <t>검증완료</t>
        </is>
      </c>
      <c r="H44" s="9" t="inlineStr">
        <is>
          <t>재계산 오차 -0.000007%</t>
        </is>
      </c>
    </row>
    <row r="45">
      <c r="A45" s="7" t="inlineStr">
        <is>
          <t>D</t>
        </is>
      </c>
      <c r="B45" s="8" t="inlineStr">
        <is>
          <t>alpha_y3</t>
        </is>
      </c>
      <c r="C45" s="9" t="inlineStr">
        <is>
          <t>얀 횡방향 열팽창계수</t>
        </is>
      </c>
      <c r="D45" s="12" t="n">
        <v>3.324908565604e-06</v>
      </c>
      <c r="E45" s="7" t="inlineStr">
        <is>
          <t>1/K</t>
        </is>
      </c>
      <c r="F45" s="9">
        <f> alpha_y2</f>
        <v/>
      </c>
      <c r="G45" s="11" t="inlineStr">
        <is>
          <t>검증완료</t>
        </is>
      </c>
      <c r="H45" s="9" t="inlineStr">
        <is>
          <t>횡등방성 가정</t>
        </is>
      </c>
    </row>
    <row r="46">
      <c r="A46" s="5" t="inlineStr">
        <is>
          <t>E. 기지 UMAT 카드 (SIC_MATRIX_DAMAGE, constants=23~24)</t>
        </is>
      </c>
      <c r="B46" s="6" t="n"/>
      <c r="C46" s="6" t="n"/>
      <c r="D46" s="6" t="n"/>
      <c r="E46" s="6" t="n"/>
      <c r="F46" s="6" t="n"/>
      <c r="G46" s="6" t="n"/>
      <c r="H46" s="6" t="n"/>
    </row>
    <row r="47">
      <c r="A47" s="7" t="inlineStr">
        <is>
          <t>E</t>
        </is>
      </c>
      <c r="B47" s="8" t="inlineStr">
        <is>
          <t>PROPS 1</t>
        </is>
      </c>
      <c r="C47" s="9" t="inlineStr">
        <is>
          <t>재료 분기 플래그 (2=기지)</t>
        </is>
      </c>
      <c r="D47" s="10" t="n">
        <v>2</v>
      </c>
      <c r="E47" s="7" t="inlineStr">
        <is>
          <t>-</t>
        </is>
      </c>
      <c r="F47" s="9" t="inlineStr">
        <is>
          <t>UMAT 내부 규약</t>
        </is>
      </c>
      <c r="G47" s="15" t="inlineStr">
        <is>
          <t>수치설정</t>
        </is>
      </c>
      <c r="H47" s="9" t="inlineStr">
        <is>
          <t>물성 아님</t>
        </is>
      </c>
    </row>
    <row r="48">
      <c r="A48" s="7" t="inlineStr">
        <is>
          <t>E</t>
        </is>
      </c>
      <c r="B48" s="8" t="inlineStr">
        <is>
          <t>PROPS 2  E</t>
        </is>
      </c>
      <c r="C48" s="9" t="inlineStr">
        <is>
          <t>기지 탄성계수</t>
        </is>
      </c>
      <c r="D48" s="10" t="n">
        <v>350000</v>
      </c>
      <c r="E48" s="7" t="inlineStr">
        <is>
          <t>MPa</t>
        </is>
      </c>
      <c r="F48" s="9" t="inlineStr">
        <is>
          <t>Zhang et al. 2022, Ceram. Int. 48:3109-3124 Table 2</t>
        </is>
      </c>
      <c r="G48" s="11" t="inlineStr">
        <is>
          <t>검증완료</t>
        </is>
      </c>
      <c r="H48" s="9" t="inlineStr">
        <is>
          <t>논문값 350 GPa</t>
        </is>
      </c>
    </row>
    <row r="49">
      <c r="A49" s="7" t="inlineStr">
        <is>
          <t>E</t>
        </is>
      </c>
      <c r="B49" s="8" t="inlineStr">
        <is>
          <t>PROPS 3  NU</t>
        </is>
      </c>
      <c r="C49" s="9" t="inlineStr">
        <is>
          <t>기지 포아송비</t>
        </is>
      </c>
      <c r="D49" s="10" t="n">
        <v>0.2</v>
      </c>
      <c r="E49" s="7" t="inlineStr">
        <is>
          <t>-</t>
        </is>
      </c>
      <c r="F49" s="9" t="inlineStr">
        <is>
          <t>Zhang et al. 2022, Ceram. Int. 48:3109-3124 Table 2</t>
        </is>
      </c>
      <c r="G49" s="11" t="inlineStr">
        <is>
          <t>검증완료</t>
        </is>
      </c>
      <c r="H49" s="9" t="inlineStr">
        <is>
          <t>논문값</t>
        </is>
      </c>
    </row>
    <row r="50">
      <c r="A50" s="7" t="inlineStr">
        <is>
          <t>E</t>
        </is>
      </c>
      <c r="B50" s="8" t="inlineStr">
        <is>
          <t>PROPS 4  XT</t>
        </is>
      </c>
      <c r="C50" s="9" t="inlineStr">
        <is>
          <t>기지 인장강도 (Weibull 평균)</t>
        </is>
      </c>
      <c r="D50" s="10" t="n">
        <v>310</v>
      </c>
      <c r="E50" s="7" t="inlineStr">
        <is>
          <t>MPa</t>
        </is>
      </c>
      <c r="F50" s="9" t="inlineStr">
        <is>
          <t>Zhang et al. 2022, Ceram. Int. 48:3109-3124 Table 2</t>
        </is>
      </c>
      <c r="G50" s="11" t="inlineStr">
        <is>
          <t>검증완료</t>
        </is>
      </c>
      <c r="H50" s="9" t="inlineStr">
        <is>
          <t>요소별 Weibull 샘플링의 평균. 실측 310.093 (오차 0.030%)</t>
        </is>
      </c>
    </row>
    <row r="51">
      <c r="A51" s="7" t="inlineStr">
        <is>
          <t>E</t>
        </is>
      </c>
      <c r="B51" s="8" t="inlineStr">
        <is>
          <t>PROPS 5  XC</t>
        </is>
      </c>
      <c r="C51" s="9" t="inlineStr">
        <is>
          <t>기지 압축강도</t>
        </is>
      </c>
      <c r="D51" s="10" t="n">
        <v>310</v>
      </c>
      <c r="E51" s="7" t="inlineStr">
        <is>
          <t>MPa</t>
        </is>
      </c>
      <c r="F51" s="9" t="inlineStr">
        <is>
          <t>Zhang et al. 2022, Ceram. Int. 48:3109-3124 Table 2</t>
        </is>
      </c>
      <c r="G51" s="11" t="inlineStr">
        <is>
          <t>검증완료</t>
        </is>
      </c>
      <c r="H51" s="9" t="inlineStr">
        <is>
          <t>초기 900 -&gt; 논문값 310 으로 수정 완료</t>
        </is>
      </c>
    </row>
    <row r="52">
      <c r="A52" s="7" t="inlineStr">
        <is>
          <t>E</t>
        </is>
      </c>
      <c r="B52" s="8" t="inlineStr">
        <is>
          <t>PROPS 6  AT</t>
        </is>
      </c>
      <c r="C52" s="9" t="inlineStr">
        <is>
          <t>인장 손상진화 지수</t>
        </is>
      </c>
      <c r="D52" s="10" t="n">
        <v>2</v>
      </c>
      <c r="E52" s="7" t="inlineStr">
        <is>
          <t>-</t>
        </is>
      </c>
      <c r="F52" s="9" t="inlineStr">
        <is>
          <t>논문 미기재</t>
        </is>
      </c>
      <c r="G52" s="16" t="inlineStr">
        <is>
          <t>임시값</t>
        </is>
      </c>
      <c r="H52" s="9" t="inlineStr">
        <is>
          <t>Gf&gt;0 이면 크랙밴드 A_eff 로 덮어써짐</t>
        </is>
      </c>
    </row>
    <row r="53">
      <c r="A53" s="7" t="inlineStr">
        <is>
          <t>E</t>
        </is>
      </c>
      <c r="B53" s="8" t="inlineStr">
        <is>
          <t>PROPS 7  AC</t>
        </is>
      </c>
      <c r="C53" s="9" t="inlineStr">
        <is>
          <t>압축 손상진화 지수</t>
        </is>
      </c>
      <c r="D53" s="10" t="n">
        <v>2</v>
      </c>
      <c r="E53" s="7" t="inlineStr">
        <is>
          <t>-</t>
        </is>
      </c>
      <c r="F53" s="9" t="inlineStr">
        <is>
          <t>논문 미기재</t>
        </is>
      </c>
      <c r="G53" s="16" t="inlineStr">
        <is>
          <t>임시값</t>
        </is>
      </c>
      <c r="H53" s="9" t="inlineStr">
        <is>
          <t>미보정</t>
        </is>
      </c>
    </row>
    <row r="54">
      <c r="A54" s="7" t="inlineStr">
        <is>
          <t>E</t>
        </is>
      </c>
      <c r="B54" s="8" t="inlineStr">
        <is>
          <t>PROPS 8  DMAXT</t>
        </is>
      </c>
      <c r="C54" s="9" t="inlineStr">
        <is>
          <t>인장 손상 상한</t>
        </is>
      </c>
      <c r="D54" s="10" t="n">
        <v>0.95</v>
      </c>
      <c r="E54" s="7" t="inlineStr">
        <is>
          <t>-</t>
        </is>
      </c>
      <c r="F54" s="9" t="inlineStr">
        <is>
          <t>논문 미기재</t>
        </is>
      </c>
      <c r="G54" s="16" t="inlineStr">
        <is>
          <t>임시값</t>
        </is>
      </c>
      <c r="H54" s="9" t="inlineStr">
        <is>
          <t>최대점 이후 비물리적 재상승의 원인</t>
        </is>
      </c>
    </row>
    <row r="55">
      <c r="A55" s="7" t="inlineStr">
        <is>
          <t>E</t>
        </is>
      </c>
      <c r="B55" s="8" t="inlineStr">
        <is>
          <t>PROPS 9  DMAXC</t>
        </is>
      </c>
      <c r="C55" s="9" t="inlineStr">
        <is>
          <t>압축 손상 상한</t>
        </is>
      </c>
      <c r="D55" s="10" t="n">
        <v>0.8</v>
      </c>
      <c r="E55" s="7" t="inlineStr">
        <is>
          <t>-</t>
        </is>
      </c>
      <c r="F55" s="9" t="inlineStr">
        <is>
          <t>논문 미기재</t>
        </is>
      </c>
      <c r="G55" s="16" t="inlineStr">
        <is>
          <t>임시값</t>
        </is>
      </c>
      <c r="H55" s="9" t="inlineStr">
        <is>
          <t>미보정</t>
        </is>
      </c>
    </row>
    <row r="56">
      <c r="A56" s="7" t="inlineStr">
        <is>
          <t>E</t>
        </is>
      </c>
      <c r="B56" s="8" t="inlineStr">
        <is>
          <t>PROPS 10 ETA</t>
        </is>
      </c>
      <c r="C56" s="9" t="inlineStr">
        <is>
          <t>점성 정규화 시간상수</t>
        </is>
      </c>
      <c r="D56" s="10" t="n">
        <v>0.02</v>
      </c>
      <c r="E56" s="7" t="inlineStr">
        <is>
          <t>step time</t>
        </is>
      </c>
      <c r="F56" s="9" t="inlineStr">
        <is>
          <t>자체 수렴검사로 선정</t>
        </is>
      </c>
      <c r="G56" s="15" t="inlineStr">
        <is>
          <t>수치설정</t>
        </is>
      </c>
      <c r="H56" s="9" t="inlineStr">
        <is>
          <t>1.0x/0.5x/0.25x 검사 -&gt; 0.5x 에서 강성 수렴 (0.87%)</t>
        </is>
      </c>
    </row>
    <row r="57">
      <c r="A57" s="7" t="inlineStr">
        <is>
          <t>E</t>
        </is>
      </c>
      <c r="B57" s="8" t="inlineStr">
        <is>
          <t>PROPS 11 DJMAX</t>
        </is>
      </c>
      <c r="C57" s="9" t="inlineStr">
        <is>
          <t>증분당 손상 점프 상한</t>
        </is>
      </c>
      <c r="D57" s="10" t="n">
        <v>0.1</v>
      </c>
      <c r="E57" s="7" t="inlineStr">
        <is>
          <t>-</t>
        </is>
      </c>
      <c r="F57" s="9" t="inlineStr">
        <is>
          <t>수치안정용</t>
        </is>
      </c>
      <c r="G57" s="15" t="inlineStr">
        <is>
          <t>수치설정</t>
        </is>
      </c>
      <c r="H57" s="9" t="inlineStr">
        <is>
          <t>물성 아님</t>
        </is>
      </c>
    </row>
    <row r="58">
      <c r="A58" s="7" t="inlineStr">
        <is>
          <t>E</t>
        </is>
      </c>
      <c r="B58" s="8" t="inlineStr">
        <is>
          <t>PROPS 12 FREEZESTEP</t>
        </is>
      </c>
      <c r="C58" s="9" t="inlineStr">
        <is>
          <t>손상이 살아있는 마지막 Step</t>
        </is>
      </c>
      <c r="D58" s="10" t="n">
        <v>3</v>
      </c>
      <c r="E58" s="7" t="inlineStr">
        <is>
          <t>-</t>
        </is>
      </c>
      <c r="F58" s="9" t="inlineStr">
        <is>
          <t>해석 절차 설정</t>
        </is>
      </c>
      <c r="G58" s="15" t="inlineStr">
        <is>
          <t>수치설정</t>
        </is>
      </c>
      <c r="H58" s="9" t="inlineStr">
        <is>
          <t>냉각1+승온2+인장3. HOM Step(4~9)은 동결</t>
        </is>
      </c>
    </row>
    <row r="59">
      <c r="A59" s="7" t="inlineStr">
        <is>
          <t>E</t>
        </is>
      </c>
      <c r="B59" s="8" t="inlineStr">
        <is>
          <t>PROPS 13 CLOSURE</t>
        </is>
      </c>
      <c r="C59" s="9" t="inlineStr">
        <is>
          <t>균열닫힘 강성회복 계수</t>
        </is>
      </c>
      <c r="D59" s="10" t="n">
        <v>0.05</v>
      </c>
      <c r="E59" s="7" t="inlineStr">
        <is>
          <t>-</t>
        </is>
      </c>
      <c r="F59" s="9" t="inlineStr">
        <is>
          <t>논문 미기재</t>
        </is>
      </c>
      <c r="G59" s="16" t="inlineStr">
        <is>
          <t>임시값</t>
        </is>
      </c>
      <c r="H59" s="9" t="inlineStr">
        <is>
          <t>미보정</t>
        </is>
      </c>
    </row>
    <row r="60">
      <c r="A60" s="7" t="inlineStr">
        <is>
          <t>E</t>
        </is>
      </c>
      <c r="B60" s="8" t="inlineStr">
        <is>
          <t>PROPS 14 PMIN</t>
        </is>
      </c>
      <c r="C60" s="9" t="inlineStr">
        <is>
          <t>PNEWDT 하한</t>
        </is>
      </c>
      <c r="D60" s="10" t="n">
        <v>0.25</v>
      </c>
      <c r="E60" s="7" t="inlineStr">
        <is>
          <t>-</t>
        </is>
      </c>
      <c r="F60" s="9" t="inlineStr">
        <is>
          <t>수치안정용</t>
        </is>
      </c>
      <c r="G60" s="15" t="inlineStr">
        <is>
          <t>수치설정</t>
        </is>
      </c>
      <c r="H60" s="9" t="inlineStr">
        <is>
          <t>물성 아님</t>
        </is>
      </c>
    </row>
    <row r="61">
      <c r="A61" s="7" t="inlineStr">
        <is>
          <t>E</t>
        </is>
      </c>
      <c r="B61" s="8" t="inlineStr">
        <is>
          <t>PROPS 15 ENABLE</t>
        </is>
      </c>
      <c r="C61" s="9" t="inlineStr">
        <is>
          <t>손상 on/off 스위치</t>
        </is>
      </c>
      <c r="D61" s="10" t="n">
        <v>1</v>
      </c>
      <c r="E61" s="7" t="inlineStr">
        <is>
          <t>-</t>
        </is>
      </c>
      <c r="F61" s="9" t="inlineStr">
        <is>
          <t>해석 설정</t>
        </is>
      </c>
      <c r="G61" s="15" t="inlineStr">
        <is>
          <t>수치설정</t>
        </is>
      </c>
      <c r="H61" s="9" t="inlineStr">
        <is>
          <t>무손상 기준해석시 0</t>
        </is>
      </c>
    </row>
    <row r="62">
      <c r="A62" s="7" t="inlineStr">
        <is>
          <t>E</t>
        </is>
      </c>
      <c r="B62" s="8" t="inlineStr">
        <is>
          <t>PROPS 16 GFT</t>
        </is>
      </c>
      <c r="C62" s="9" t="inlineStr">
        <is>
          <t>기지 파괴에너지 (크랙밴드)</t>
        </is>
      </c>
      <c r="D62" s="10" t="n">
        <v>0.018</v>
      </c>
      <c r="E62" s="7" t="inlineStr">
        <is>
          <t>N/mm</t>
        </is>
      </c>
      <c r="F62" s="9" t="inlineStr">
        <is>
          <t>논문 미기재</t>
        </is>
      </c>
      <c r="G62" s="16" t="inlineStr">
        <is>
          <t>임시값</t>
        </is>
      </c>
      <c r="H62" s="9" t="inlineStr">
        <is>
          <t>요소크기 정규화용. 0.031-&gt;0.012-&gt;0.018 로 조정된 이력</t>
        </is>
      </c>
    </row>
    <row r="63">
      <c r="A63" s="7" t="inlineStr">
        <is>
          <t>E</t>
        </is>
      </c>
      <c r="B63" s="8" t="inlineStr">
        <is>
          <t>PROPS 17 WEIBM</t>
        </is>
      </c>
      <c r="C63" s="9" t="inlineStr">
        <is>
          <t>Weibull 형상모수 m</t>
        </is>
      </c>
      <c r="D63" s="10" t="n">
        <v>5.1</v>
      </c>
      <c r="E63" s="7" t="inlineStr">
        <is>
          <t>-</t>
        </is>
      </c>
      <c r="F63" s="9" t="inlineStr">
        <is>
          <t>논문 미기재</t>
        </is>
      </c>
      <c r="G63" s="16" t="inlineStr">
        <is>
          <t>임시값</t>
        </is>
      </c>
      <c r="H63" s="9" t="inlineStr">
        <is>
          <t>강도 산포 도입 (논문은 결정론적)</t>
        </is>
      </c>
    </row>
    <row r="64">
      <c r="A64" s="7" t="inlineStr">
        <is>
          <t>E</t>
        </is>
      </c>
      <c r="B64" s="8" t="inlineStr">
        <is>
          <t>PROPS 18 SEED</t>
        </is>
      </c>
      <c r="C64" s="9" t="inlineStr">
        <is>
          <t>Weibull 해시 시드</t>
        </is>
      </c>
      <c r="D64" s="10" t="n">
        <v>1</v>
      </c>
      <c r="E64" s="7" t="inlineStr">
        <is>
          <t>-</t>
        </is>
      </c>
      <c r="F64" s="9" t="inlineStr">
        <is>
          <t>재현성 확보용</t>
        </is>
      </c>
      <c r="G64" s="15" t="inlineStr">
        <is>
          <t>수치설정</t>
        </is>
      </c>
      <c r="H64" s="9" t="inlineStr">
        <is>
          <t>좌표 해시 기반 결정론적</t>
        </is>
      </c>
    </row>
    <row r="65">
      <c r="A65" s="7" t="inlineStr">
        <is>
          <t>E</t>
        </is>
      </c>
      <c r="B65" s="8" t="inlineStr">
        <is>
          <t>PROPS 19 CUTTRG</t>
        </is>
      </c>
      <c r="C65" s="9" t="inlineStr">
        <is>
          <t>컷백 트리거 배수</t>
        </is>
      </c>
      <c r="D65" s="10" t="n">
        <v>1.15</v>
      </c>
      <c r="E65" s="7" t="inlineStr">
        <is>
          <t>-</t>
        </is>
      </c>
      <c r="F65" s="9" t="inlineStr">
        <is>
          <t>수치안정용</t>
        </is>
      </c>
      <c r="G65" s="15" t="inlineStr">
        <is>
          <t>수치설정</t>
        </is>
      </c>
      <c r="H65" s="9" t="inlineStr">
        <is>
          <t>물성 아님</t>
        </is>
      </c>
    </row>
    <row r="66">
      <c r="A66" s="7" t="inlineStr">
        <is>
          <t>E</t>
        </is>
      </c>
      <c r="B66" s="8" t="inlineStr">
        <is>
          <t>PROPS 20 CUTSAF</t>
        </is>
      </c>
      <c r="C66" s="9" t="inlineStr">
        <is>
          <t>컷백 안전계수</t>
        </is>
      </c>
      <c r="D66" s="10" t="n">
        <v>0.75</v>
      </c>
      <c r="E66" s="7" t="inlineStr">
        <is>
          <t>-</t>
        </is>
      </c>
      <c r="F66" s="9" t="inlineStr">
        <is>
          <t>수치안정용</t>
        </is>
      </c>
      <c r="G66" s="15" t="inlineStr">
        <is>
          <t>수치설정</t>
        </is>
      </c>
      <c r="H66" s="9" t="inlineStr">
        <is>
          <t>물성 아님</t>
        </is>
      </c>
    </row>
    <row r="67">
      <c r="A67" s="7" t="inlineStr">
        <is>
          <t>E</t>
        </is>
      </c>
      <c r="B67" s="8" t="inlineStr">
        <is>
          <t>PROPS 21 CUTMXF</t>
        </is>
      </c>
      <c r="C67" s="9" t="inlineStr">
        <is>
          <t>컷백 최대 감쇠</t>
        </is>
      </c>
      <c r="D67" s="10" t="n">
        <v>0.5</v>
      </c>
      <c r="E67" s="7" t="inlineStr">
        <is>
          <t>-</t>
        </is>
      </c>
      <c r="F67" s="9" t="inlineStr">
        <is>
          <t>수치안정용</t>
        </is>
      </c>
      <c r="G67" s="15" t="inlineStr">
        <is>
          <t>수치설정</t>
        </is>
      </c>
      <c r="H67" s="9" t="inlineStr">
        <is>
          <t>물성 아님</t>
        </is>
      </c>
    </row>
    <row r="68">
      <c r="A68" s="7" t="inlineStr">
        <is>
          <t>E</t>
        </is>
      </c>
      <c r="B68" s="8" t="inlineStr">
        <is>
          <t>PROPS 22 I1GATE</t>
        </is>
      </c>
      <c r="C68" s="9" t="inlineStr">
        <is>
          <t>제1불변량 게이트 모드</t>
        </is>
      </c>
      <c r="D68" s="10" t="n">
        <v>1</v>
      </c>
      <c r="E68" s="7" t="inlineStr">
        <is>
          <t>-</t>
        </is>
      </c>
      <c r="F68" s="9" t="inlineStr">
        <is>
          <t>Zhang et al. 2022, Ceram. Int. 48:3109-3124 Eq.16</t>
        </is>
      </c>
      <c r="G68" s="11" t="inlineStr">
        <is>
          <t>검증완료</t>
        </is>
      </c>
      <c r="H68" s="9" t="inlineStr">
        <is>
          <t>논문 Eq.16 의 I1&lt;=0 조건 구현</t>
        </is>
      </c>
    </row>
    <row r="69">
      <c r="A69" s="7" t="inlineStr">
        <is>
          <t>E</t>
        </is>
      </c>
      <c r="B69" s="8" t="inlineStr">
        <is>
          <t>PROPS 23 WTLAG</t>
        </is>
      </c>
      <c r="C69" s="9" t="inlineStr">
        <is>
          <t>응력상태가중 1증분 지연</t>
        </is>
      </c>
      <c r="D69" s="10" t="n">
        <v>1</v>
      </c>
      <c r="E69" s="7" t="inlineStr">
        <is>
          <t>-</t>
        </is>
      </c>
      <c r="F69" s="9" t="inlineStr">
        <is>
          <t>야코비안 일관성 확보</t>
        </is>
      </c>
      <c r="G69" s="15" t="inlineStr">
        <is>
          <t>수치설정</t>
        </is>
      </c>
      <c r="H69" s="9" t="inlineStr">
        <is>
          <t>V2_4 발산 수정. 재료점 오차 7.36%-&gt;0.00%</t>
        </is>
      </c>
    </row>
    <row r="70">
      <c r="A70" s="7" t="inlineStr">
        <is>
          <t>E</t>
        </is>
      </c>
      <c r="B70" s="8" t="inlineStr">
        <is>
          <t>PROPS 24 MCRIT</t>
        </is>
      </c>
      <c r="C70" s="9" t="inlineStr">
        <is>
          <t>기지 파손기준 선택 (V2_5)</t>
        </is>
      </c>
      <c r="D70" s="10" t="n">
        <v>1</v>
      </c>
      <c r="E70" s="7" t="inlineStr">
        <is>
          <t>-</t>
        </is>
      </c>
      <c r="F70" s="9" t="inlineStr">
        <is>
          <t>Zhang et al. 2022, Ceram. Int. 48:3109-3124 Eq.15/16</t>
        </is>
      </c>
      <c r="G70" s="11" t="inlineStr">
        <is>
          <t>검증완료</t>
        </is>
      </c>
      <c r="H70" s="9" t="inlineStr">
        <is>
          <t>PAPERCRIT 덱만. 1=논문 von Mises, 0=Rankine(V2_4)</t>
        </is>
      </c>
    </row>
    <row r="71">
      <c r="A71" s="5" t="inlineStr">
        <is>
          <t>F. 얀 UMAT 카드 (CSIC_YARN_DAMAGE, constants=31)</t>
        </is>
      </c>
      <c r="B71" s="6" t="n"/>
      <c r="C71" s="6" t="n"/>
      <c r="D71" s="6" t="n"/>
      <c r="E71" s="6" t="n"/>
      <c r="F71" s="6" t="n"/>
      <c r="G71" s="6" t="n"/>
      <c r="H71" s="6" t="n"/>
    </row>
    <row r="72">
      <c r="A72" s="7" t="inlineStr">
        <is>
          <t>F</t>
        </is>
      </c>
      <c r="B72" s="8" t="inlineStr">
        <is>
          <t>PROPS 1</t>
        </is>
      </c>
      <c r="C72" s="9" t="inlineStr">
        <is>
          <t>재료 분기 플래그 (1=얀)</t>
        </is>
      </c>
      <c r="D72" s="10" t="n">
        <v>1</v>
      </c>
      <c r="E72" s="7" t="inlineStr">
        <is>
          <t>-</t>
        </is>
      </c>
      <c r="F72" s="9" t="inlineStr">
        <is>
          <t>UMAT 내부 규약</t>
        </is>
      </c>
      <c r="G72" s="15" t="inlineStr">
        <is>
          <t>수치설정</t>
        </is>
      </c>
      <c r="H72" s="9" t="inlineStr">
        <is>
          <t>물성 아님</t>
        </is>
      </c>
    </row>
    <row r="73">
      <c r="A73" s="7" t="inlineStr">
        <is>
          <t>F</t>
        </is>
      </c>
      <c r="B73" s="8" t="inlineStr">
        <is>
          <t>PROPS 2~10</t>
        </is>
      </c>
      <c r="C73" s="9" t="inlineStr">
        <is>
          <t>얀 직교이방 탄성상수 9개</t>
        </is>
      </c>
      <c r="D73" s="14" t="n"/>
      <c r="E73" s="7" t="inlineStr">
        <is>
          <t>MPa / -</t>
        </is>
      </c>
      <c r="F73" s="9" t="inlineStr">
        <is>
          <t>Chamis 균질화 (구분 D 참조)</t>
        </is>
      </c>
      <c r="G73" s="11" t="inlineStr">
        <is>
          <t>검증완료</t>
        </is>
      </c>
      <c r="H73" s="9" t="inlineStr">
        <is>
          <t>E1,E2,E3,nu12,nu13,nu23,G12,G13,G23</t>
        </is>
      </c>
    </row>
    <row r="74">
      <c r="A74" s="7" t="inlineStr">
        <is>
          <t>F</t>
        </is>
      </c>
      <c r="B74" s="8" t="inlineStr">
        <is>
          <t>PROPS 11 XT</t>
        </is>
      </c>
      <c r="C74" s="9" t="inlineStr">
        <is>
          <t>얀 축방향 인장강도</t>
        </is>
      </c>
      <c r="D74" s="10" t="n">
        <v>421</v>
      </c>
      <c r="E74" s="7" t="inlineStr">
        <is>
          <t>MPa</t>
        </is>
      </c>
      <c r="F74" s="9" t="inlineStr">
        <is>
          <t>논문 Table 3 역보정 (논문 미기재)</t>
        </is>
      </c>
      <c r="G74" s="17" t="inlineStr">
        <is>
          <t>보정값</t>
        </is>
      </c>
      <c r="H74" s="9" t="inlineStr">
        <is>
          <t>★핵심 보정값. Chamis 이론값 2835 MPa 의 14.8%</t>
        </is>
      </c>
    </row>
    <row r="75">
      <c r="A75" s="7" t="inlineStr">
        <is>
          <t>F</t>
        </is>
      </c>
      <c r="B75" s="8" t="inlineStr">
        <is>
          <t>PROPS 12 XC</t>
        </is>
      </c>
      <c r="C75" s="9" t="inlineStr">
        <is>
          <t>얀 축방향 압축강도</t>
        </is>
      </c>
      <c r="D75" s="10" t="n">
        <v>1500</v>
      </c>
      <c r="E75" s="7" t="inlineStr">
        <is>
          <t>MPa</t>
        </is>
      </c>
      <c r="F75" s="9" t="inlineStr">
        <is>
          <t>논문 미기재</t>
        </is>
      </c>
      <c r="G75" s="16" t="inlineStr">
        <is>
          <t>임시값</t>
        </is>
      </c>
      <c r="H75" s="9" t="inlineStr">
        <is>
          <t>미보정. 냉각 압축(-355MPa)에 여유 있어 영향 작음</t>
        </is>
      </c>
    </row>
    <row r="76">
      <c r="A76" s="7" t="inlineStr">
        <is>
          <t>F</t>
        </is>
      </c>
      <c r="B76" s="8" t="inlineStr">
        <is>
          <t>PROPS 13 YT</t>
        </is>
      </c>
      <c r="C76" s="9" t="inlineStr">
        <is>
          <t>얀 횡방향 인장강도</t>
        </is>
      </c>
      <c r="D76" s="10" t="n">
        <v>80</v>
      </c>
      <c r="E76" s="7" t="inlineStr">
        <is>
          <t>MPa</t>
        </is>
      </c>
      <c r="F76" s="9" t="inlineStr">
        <is>
          <t>논문 미기재</t>
        </is>
      </c>
      <c r="G76" s="16" t="inlineStr">
        <is>
          <t>임시값</t>
        </is>
      </c>
      <c r="H76" s="9" t="inlineStr">
        <is>
          <t>미보정. 횡손상률 88~93% 결정</t>
        </is>
      </c>
    </row>
    <row r="77">
      <c r="A77" s="7" t="inlineStr">
        <is>
          <t>F</t>
        </is>
      </c>
      <c r="B77" s="8" t="inlineStr">
        <is>
          <t>PROPS 14 YC</t>
        </is>
      </c>
      <c r="C77" s="9" t="inlineStr">
        <is>
          <t>얀 횡방향 압축강도</t>
        </is>
      </c>
      <c r="D77" s="10" t="n">
        <v>350</v>
      </c>
      <c r="E77" s="7" t="inlineStr">
        <is>
          <t>MPa</t>
        </is>
      </c>
      <c r="F77" s="9" t="inlineStr">
        <is>
          <t>논문 미기재</t>
        </is>
      </c>
      <c r="G77" s="16" t="inlineStr">
        <is>
          <t>임시값</t>
        </is>
      </c>
      <c r="H77" s="9" t="inlineStr">
        <is>
          <t>미보정</t>
        </is>
      </c>
    </row>
    <row r="78">
      <c r="A78" s="7" t="inlineStr">
        <is>
          <t>F</t>
        </is>
      </c>
      <c r="B78" s="8" t="inlineStr">
        <is>
          <t>PROPS 15 S12</t>
        </is>
      </c>
      <c r="C78" s="9" t="inlineStr">
        <is>
          <t>면내 전단강도</t>
        </is>
      </c>
      <c r="D78" s="10" t="n">
        <v>120</v>
      </c>
      <c r="E78" s="7" t="inlineStr">
        <is>
          <t>MPa</t>
        </is>
      </c>
      <c r="F78" s="9" t="inlineStr">
        <is>
          <t>논문 미기재</t>
        </is>
      </c>
      <c r="G78" s="16" t="inlineStr">
        <is>
          <t>임시값</t>
        </is>
      </c>
      <c r="H78" s="9" t="inlineStr">
        <is>
          <t>미보정</t>
        </is>
      </c>
    </row>
    <row r="79">
      <c r="A79" s="7" t="inlineStr">
        <is>
          <t>F</t>
        </is>
      </c>
      <c r="B79" s="8" t="inlineStr">
        <is>
          <t>PROPS 16 S13</t>
        </is>
      </c>
      <c r="C79" s="9" t="inlineStr">
        <is>
          <t>면외 전단강도</t>
        </is>
      </c>
      <c r="D79" s="10" t="n">
        <v>120</v>
      </c>
      <c r="E79" s="7" t="inlineStr">
        <is>
          <t>MPa</t>
        </is>
      </c>
      <c r="F79" s="9" t="inlineStr">
        <is>
          <t>논문 미기재</t>
        </is>
      </c>
      <c r="G79" s="16" t="inlineStr">
        <is>
          <t>임시값</t>
        </is>
      </c>
      <c r="H79" s="9" t="inlineStr">
        <is>
          <t>미보정</t>
        </is>
      </c>
    </row>
    <row r="80">
      <c r="A80" s="7" t="inlineStr">
        <is>
          <t>F</t>
        </is>
      </c>
      <c r="B80" s="8" t="inlineStr">
        <is>
          <t>PROPS 17 S23</t>
        </is>
      </c>
      <c r="C80" s="9" t="inlineStr">
        <is>
          <t>횡방향 전단강도</t>
        </is>
      </c>
      <c r="D80" s="10" t="n">
        <v>100</v>
      </c>
      <c r="E80" s="7" t="inlineStr">
        <is>
          <t>MPa</t>
        </is>
      </c>
      <c r="F80" s="9" t="inlineStr">
        <is>
          <t>논문 미기재</t>
        </is>
      </c>
      <c r="G80" s="16" t="inlineStr">
        <is>
          <t>임시값</t>
        </is>
      </c>
      <c r="H80" s="9" t="inlineStr">
        <is>
          <t>미보정</t>
        </is>
      </c>
    </row>
    <row r="81">
      <c r="A81" s="7" t="inlineStr">
        <is>
          <t>F</t>
        </is>
      </c>
      <c r="B81" s="8" t="inlineStr">
        <is>
          <t>PROPS 18 A1T</t>
        </is>
      </c>
      <c r="C81" s="9" t="inlineStr">
        <is>
          <t>축방향 인장 손상진화 지수</t>
        </is>
      </c>
      <c r="D81" s="10" t="n">
        <v>2</v>
      </c>
      <c r="E81" s="7" t="inlineStr">
        <is>
          <t>-</t>
        </is>
      </c>
      <c r="F81" s="9" t="inlineStr">
        <is>
          <t>논문 미기재</t>
        </is>
      </c>
      <c r="G81" s="16" t="inlineStr">
        <is>
          <t>임시값</t>
        </is>
      </c>
      <c r="H81" s="9" t="inlineStr">
        <is>
          <t>★크랙밴드(Gf) 정규화 없음 -&gt; eta·메쉬 의존의 근본원인</t>
        </is>
      </c>
    </row>
    <row r="82">
      <c r="A82" s="7" t="inlineStr">
        <is>
          <t>F</t>
        </is>
      </c>
      <c r="B82" s="8" t="inlineStr">
        <is>
          <t>PROPS 19 A1C</t>
        </is>
      </c>
      <c r="C82" s="9" t="inlineStr">
        <is>
          <t>축방향 압축 손상진화 지수</t>
        </is>
      </c>
      <c r="D82" s="10" t="n">
        <v>2</v>
      </c>
      <c r="E82" s="7" t="inlineStr">
        <is>
          <t>-</t>
        </is>
      </c>
      <c r="F82" s="9" t="inlineStr">
        <is>
          <t>논문 미기재</t>
        </is>
      </c>
      <c r="G82" s="16" t="inlineStr">
        <is>
          <t>임시값</t>
        </is>
      </c>
      <c r="H82" s="9" t="inlineStr">
        <is>
          <t>미보정</t>
        </is>
      </c>
    </row>
    <row r="83">
      <c r="A83" s="7" t="inlineStr">
        <is>
          <t>F</t>
        </is>
      </c>
      <c r="B83" s="8" t="inlineStr">
        <is>
          <t>PROPS 20 ATT</t>
        </is>
      </c>
      <c r="C83" s="9" t="inlineStr">
        <is>
          <t>횡방향 인장 손상진화 지수</t>
        </is>
      </c>
      <c r="D83" s="10" t="n">
        <v>2</v>
      </c>
      <c r="E83" s="7" t="inlineStr">
        <is>
          <t>-</t>
        </is>
      </c>
      <c r="F83" s="9" t="inlineStr">
        <is>
          <t>논문 미기재</t>
        </is>
      </c>
      <c r="G83" s="16" t="inlineStr">
        <is>
          <t>임시값</t>
        </is>
      </c>
      <c r="H83" s="9" t="inlineStr">
        <is>
          <t>미보정</t>
        </is>
      </c>
    </row>
    <row r="84">
      <c r="A84" s="7" t="inlineStr">
        <is>
          <t>F</t>
        </is>
      </c>
      <c r="B84" s="8" t="inlineStr">
        <is>
          <t>PROPS 21 ATC</t>
        </is>
      </c>
      <c r="C84" s="9" t="inlineStr">
        <is>
          <t>횡방향 압축 손상진화 지수</t>
        </is>
      </c>
      <c r="D84" s="10" t="n">
        <v>2</v>
      </c>
      <c r="E84" s="7" t="inlineStr">
        <is>
          <t>-</t>
        </is>
      </c>
      <c r="F84" s="9" t="inlineStr">
        <is>
          <t>논문 미기재</t>
        </is>
      </c>
      <c r="G84" s="16" t="inlineStr">
        <is>
          <t>임시값</t>
        </is>
      </c>
      <c r="H84" s="9" t="inlineStr">
        <is>
          <t>미보정</t>
        </is>
      </c>
    </row>
    <row r="85">
      <c r="A85" s="7" t="inlineStr">
        <is>
          <t>F</t>
        </is>
      </c>
      <c r="B85" s="8" t="inlineStr">
        <is>
          <t>PROPS 22 DMAX1</t>
        </is>
      </c>
      <c r="C85" s="9" t="inlineStr">
        <is>
          <t>축방향 손상 상한</t>
        </is>
      </c>
      <c r="D85" s="10" t="n">
        <v>0.95</v>
      </c>
      <c r="E85" s="7" t="inlineStr">
        <is>
          <t>-</t>
        </is>
      </c>
      <c r="F85" s="9" t="inlineStr">
        <is>
          <t>논문 미기재</t>
        </is>
      </c>
      <c r="G85" s="16" t="inlineStr">
        <is>
          <t>임시값</t>
        </is>
      </c>
      <c r="H85" s="9" t="inlineStr">
        <is>
          <t>미보정</t>
        </is>
      </c>
    </row>
    <row r="86">
      <c r="A86" s="7" t="inlineStr">
        <is>
          <t>F</t>
        </is>
      </c>
      <c r="B86" s="8" t="inlineStr">
        <is>
          <t>PROPS 23 DMAXT</t>
        </is>
      </c>
      <c r="C86" s="9" t="inlineStr">
        <is>
          <t>횡방향 손상 상한</t>
        </is>
      </c>
      <c r="D86" s="10" t="n">
        <v>0.9</v>
      </c>
      <c r="E86" s="7" t="inlineStr">
        <is>
          <t>-</t>
        </is>
      </c>
      <c r="F86" s="9" t="inlineStr">
        <is>
          <t>논문 미기재</t>
        </is>
      </c>
      <c r="G86" s="16" t="inlineStr">
        <is>
          <t>임시값</t>
        </is>
      </c>
      <c r="H86" s="9" t="inlineStr">
        <is>
          <t>최대점 이후 재상승 원인 중 하나</t>
        </is>
      </c>
    </row>
    <row r="87">
      <c r="A87" s="7" t="inlineStr">
        <is>
          <t>F</t>
        </is>
      </c>
      <c r="B87" s="8" t="inlineStr">
        <is>
          <t>PROPS 24 ETA</t>
        </is>
      </c>
      <c r="C87" s="9" t="inlineStr">
        <is>
          <t>점성 정규화 시간상수</t>
        </is>
      </c>
      <c r="D87" s="10" t="n">
        <v>0.01</v>
      </c>
      <c r="E87" s="7" t="inlineStr">
        <is>
          <t>step time</t>
        </is>
      </c>
      <c r="F87" s="9" t="inlineStr">
        <is>
          <t>자체 수렴검사로 선정</t>
        </is>
      </c>
      <c r="G87" s="15" t="inlineStr">
        <is>
          <t>수치설정</t>
        </is>
      </c>
      <c r="H87" s="9" t="inlineStr">
        <is>
          <t>기지 ETA 의 절반으로 유지</t>
        </is>
      </c>
    </row>
    <row r="88">
      <c r="A88" s="7" t="inlineStr">
        <is>
          <t>F</t>
        </is>
      </c>
      <c r="B88" s="8" t="inlineStr">
        <is>
          <t>PROPS 25 DJMAX</t>
        </is>
      </c>
      <c r="C88" s="9" t="inlineStr">
        <is>
          <t>증분당 손상 점프 상한</t>
        </is>
      </c>
      <c r="D88" s="10" t="n">
        <v>0.1</v>
      </c>
      <c r="E88" s="7" t="inlineStr">
        <is>
          <t>-</t>
        </is>
      </c>
      <c r="F88" s="9" t="inlineStr">
        <is>
          <t>수치안정용</t>
        </is>
      </c>
      <c r="G88" s="15" t="inlineStr">
        <is>
          <t>수치설정</t>
        </is>
      </c>
      <c r="H88" s="9" t="inlineStr">
        <is>
          <t>물성 아님</t>
        </is>
      </c>
    </row>
    <row r="89">
      <c r="A89" s="7" t="inlineStr">
        <is>
          <t>F</t>
        </is>
      </c>
      <c r="B89" s="8" t="inlineStr">
        <is>
          <t>PROPS 26 FREEZESTEP</t>
        </is>
      </c>
      <c r="C89" s="9" t="inlineStr">
        <is>
          <t>손상이 살아있는 마지막 Step</t>
        </is>
      </c>
      <c r="D89" s="10" t="n">
        <v>3</v>
      </c>
      <c r="E89" s="7" t="inlineStr">
        <is>
          <t>-</t>
        </is>
      </c>
      <c r="F89" s="9" t="inlineStr">
        <is>
          <t>해석 절차 설정</t>
        </is>
      </c>
      <c r="G89" s="15" t="inlineStr">
        <is>
          <t>수치설정</t>
        </is>
      </c>
      <c r="H89" s="9" t="inlineStr">
        <is>
          <t>기지 PROPS12 와 동일해야 함</t>
        </is>
      </c>
    </row>
    <row r="90">
      <c r="A90" s="7" t="inlineStr">
        <is>
          <t>F</t>
        </is>
      </c>
      <c r="B90" s="8" t="inlineStr">
        <is>
          <t>PROPS 27 PMIN</t>
        </is>
      </c>
      <c r="C90" s="9" t="inlineStr">
        <is>
          <t>PNEWDT 하한</t>
        </is>
      </c>
      <c r="D90" s="10" t="n">
        <v>0.25</v>
      </c>
      <c r="E90" s="7" t="inlineStr">
        <is>
          <t>-</t>
        </is>
      </c>
      <c r="F90" s="9" t="inlineStr">
        <is>
          <t>수치안정용</t>
        </is>
      </c>
      <c r="G90" s="15" t="inlineStr">
        <is>
          <t>수치설정</t>
        </is>
      </c>
      <c r="H90" s="9" t="inlineStr">
        <is>
          <t>물성 아님</t>
        </is>
      </c>
    </row>
    <row r="91">
      <c r="A91" s="7" t="inlineStr">
        <is>
          <t>F</t>
        </is>
      </c>
      <c r="B91" s="8" t="inlineStr">
        <is>
          <t>PROPS 28 ENABLE</t>
        </is>
      </c>
      <c r="C91" s="9" t="inlineStr">
        <is>
          <t>손상 on/off 스위치</t>
        </is>
      </c>
      <c r="D91" s="10" t="n">
        <v>1</v>
      </c>
      <c r="E91" s="7" t="inlineStr">
        <is>
          <t>-</t>
        </is>
      </c>
      <c r="F91" s="9" t="inlineStr">
        <is>
          <t>해석 설정</t>
        </is>
      </c>
      <c r="G91" s="15" t="inlineStr">
        <is>
          <t>수치설정</t>
        </is>
      </c>
      <c r="H91" s="9" t="inlineStr">
        <is>
          <t>무손상 기준해석시 0</t>
        </is>
      </c>
    </row>
    <row r="92">
      <c r="A92" s="7" t="inlineStr">
        <is>
          <t>F</t>
        </is>
      </c>
      <c r="B92" s="8" t="inlineStr">
        <is>
          <t>PROPS 29 CUTTRG</t>
        </is>
      </c>
      <c r="C92" s="9" t="inlineStr">
        <is>
          <t>컷백 트리거 배수</t>
        </is>
      </c>
      <c r="D92" s="10" t="n">
        <v>1.15</v>
      </c>
      <c r="E92" s="7" t="inlineStr">
        <is>
          <t>-</t>
        </is>
      </c>
      <c r="F92" s="9" t="inlineStr">
        <is>
          <t>수치안정용</t>
        </is>
      </c>
      <c r="G92" s="15" t="inlineStr">
        <is>
          <t>수치설정</t>
        </is>
      </c>
      <c r="H92" s="9" t="inlineStr">
        <is>
          <t>물성 아님</t>
        </is>
      </c>
    </row>
    <row r="93">
      <c r="A93" s="7" t="inlineStr">
        <is>
          <t>F</t>
        </is>
      </c>
      <c r="B93" s="8" t="inlineStr">
        <is>
          <t>PROPS 30 CUTSAF</t>
        </is>
      </c>
      <c r="C93" s="9" t="inlineStr">
        <is>
          <t>컷백 안전계수</t>
        </is>
      </c>
      <c r="D93" s="10" t="n">
        <v>0.75</v>
      </c>
      <c r="E93" s="7" t="inlineStr">
        <is>
          <t>-</t>
        </is>
      </c>
      <c r="F93" s="9" t="inlineStr">
        <is>
          <t>수치안정용</t>
        </is>
      </c>
      <c r="G93" s="15" t="inlineStr">
        <is>
          <t>수치설정</t>
        </is>
      </c>
      <c r="H93" s="9" t="inlineStr">
        <is>
          <t>물성 아님</t>
        </is>
      </c>
    </row>
    <row r="94">
      <c r="A94" s="7" t="inlineStr">
        <is>
          <t>F</t>
        </is>
      </c>
      <c r="B94" s="8" t="inlineStr">
        <is>
          <t>PROPS 31 CUTMXF</t>
        </is>
      </c>
      <c r="C94" s="9" t="inlineStr">
        <is>
          <t>컷백 최대 감쇠</t>
        </is>
      </c>
      <c r="D94" s="10" t="n">
        <v>0.5</v>
      </c>
      <c r="E94" s="7" t="inlineStr">
        <is>
          <t>-</t>
        </is>
      </c>
      <c r="F94" s="9" t="inlineStr">
        <is>
          <t>수치안정용</t>
        </is>
      </c>
      <c r="G94" s="15" t="inlineStr">
        <is>
          <t>수치설정</t>
        </is>
      </c>
      <c r="H94" s="9" t="inlineStr">
        <is>
          <t>물성 아님</t>
        </is>
      </c>
    </row>
    <row r="95">
      <c r="A95" s="5" t="inlineStr">
        <is>
          <t>G. 해석 조건</t>
        </is>
      </c>
      <c r="B95" s="6" t="n"/>
      <c r="C95" s="6" t="n"/>
      <c r="D95" s="6" t="n"/>
      <c r="E95" s="6" t="n"/>
      <c r="F95" s="6" t="n"/>
      <c r="G95" s="6" t="n"/>
      <c r="H95" s="6" t="n"/>
    </row>
    <row r="96">
      <c r="A96" s="7" t="inlineStr">
        <is>
          <t>G</t>
        </is>
      </c>
      <c r="B96" s="8" t="inlineStr">
        <is>
          <t>T_process</t>
        </is>
      </c>
      <c r="C96" s="9" t="inlineStr">
        <is>
          <t>공정(무응력) 온도</t>
        </is>
      </c>
      <c r="D96" s="10" t="n">
        <v>1050</v>
      </c>
      <c r="E96" s="7" t="inlineStr">
        <is>
          <t>degC</t>
        </is>
      </c>
      <c r="F96" s="9" t="inlineStr">
        <is>
          <t>Zhang et al. 2022, Ceram. Int. 48:3109-3124 3.2.4 / *Expansion zero</t>
        </is>
      </c>
      <c r="G96" s="11" t="inlineStr">
        <is>
          <t>검증완료</t>
        </is>
      </c>
      <c r="H96" s="9" t="inlineStr">
        <is>
          <t>논문과 동일</t>
        </is>
      </c>
    </row>
    <row r="97">
      <c r="A97" s="7" t="inlineStr">
        <is>
          <t>G</t>
        </is>
      </c>
      <c r="B97" s="8" t="inlineStr">
        <is>
          <t>T_room</t>
        </is>
      </c>
      <c r="C97" s="9" t="inlineStr">
        <is>
          <t>냉각 도달 온도</t>
        </is>
      </c>
      <c r="D97" s="10" t="n">
        <v>23</v>
      </c>
      <c r="E97" s="7" t="inlineStr">
        <is>
          <t>degC</t>
        </is>
      </c>
      <c r="F97" s="9" t="inlineStr">
        <is>
          <t>Zhang et al. 2022, Ceram. Int. 48:3109-3124 3.2.4</t>
        </is>
      </c>
      <c r="G97" s="11" t="inlineStr">
        <is>
          <t>검증완료</t>
        </is>
      </c>
      <c r="H97" s="9" t="inlineStr">
        <is>
          <t>논문과 동일</t>
        </is>
      </c>
    </row>
    <row r="98">
      <c r="A98" s="7" t="inlineStr">
        <is>
          <t>G</t>
        </is>
      </c>
      <c r="B98" s="8" t="inlineStr">
        <is>
          <t>T_test</t>
        </is>
      </c>
      <c r="C98" s="9" t="inlineStr">
        <is>
          <t>시험 온도 (3 조건)</t>
        </is>
      </c>
      <c r="D98" s="14" t="n"/>
      <c r="E98" s="7" t="inlineStr">
        <is>
          <t>degC</t>
        </is>
      </c>
      <c r="F98" s="9" t="inlineStr">
        <is>
          <t>Zhang et al. 2022, Ceram. Int. 48:3109-3124 Table 3</t>
        </is>
      </c>
      <c r="G98" s="11" t="inlineStr">
        <is>
          <t>검증완료</t>
        </is>
      </c>
      <c r="H98" s="9" t="inlineStr">
        <is>
          <t>23 / 500 / 1000 degC</t>
        </is>
      </c>
    </row>
    <row r="99">
      <c r="A99" s="7" t="inlineStr">
        <is>
          <t>G</t>
        </is>
      </c>
      <c r="B99" s="8" t="inlineStr">
        <is>
          <t>기계변형률 span</t>
        </is>
      </c>
      <c r="C99" s="9" t="inlineStr">
        <is>
          <t>인장 Step 목표 기계변형률</t>
        </is>
      </c>
      <c r="D99" s="10" t="n">
        <v>0.005334</v>
      </c>
      <c r="E99" s="7" t="inlineStr">
        <is>
          <t>-</t>
        </is>
      </c>
      <c r="F99" s="9" t="inlineStr">
        <is>
          <t>자체 설정</t>
        </is>
      </c>
      <c r="G99" s="15" t="inlineStr">
        <is>
          <t>수치설정</t>
        </is>
      </c>
      <c r="H99" s="9" t="inlineStr">
        <is>
          <t>★세 온도에서 반드시 동일해야 비교 가능 (속도 의존성)</t>
        </is>
      </c>
    </row>
    <row r="100">
      <c r="A100" s="7" t="inlineStr">
        <is>
          <t>G</t>
        </is>
      </c>
      <c r="B100" s="8" t="inlineStr">
        <is>
          <t>PBC</t>
        </is>
      </c>
      <c r="C100" s="9" t="inlineStr">
        <is>
          <t>주기경계조건</t>
        </is>
      </c>
      <c r="D100" s="14" t="n"/>
      <c r="E100" s="7" t="inlineStr">
        <is>
          <t>-</t>
        </is>
      </c>
      <c r="F100" s="9" t="inlineStr">
        <is>
          <t>Zhang et al. 2022, Ceram. Int. 48:3109-3124 3.2.2 [31]</t>
        </is>
      </c>
      <c r="G100" s="11" t="inlineStr">
        <is>
          <t>검증완료</t>
        </is>
      </c>
      <c r="H100" s="9" t="inlineStr">
        <is>
          <t>Driver 반력 0, 평균응력 잔차 4.0e-8 (기계정밀도)</t>
        </is>
      </c>
    </row>
    <row r="101">
      <c r="A101" s="5" t="inlineStr">
        <is>
          <t>H. 논문 검증 목표 (Table 3)</t>
        </is>
      </c>
      <c r="B101" s="6" t="n"/>
      <c r="C101" s="6" t="n"/>
      <c r="D101" s="6" t="n"/>
      <c r="E101" s="6" t="n"/>
      <c r="F101" s="6" t="n"/>
      <c r="G101" s="6" t="n"/>
      <c r="H101" s="6" t="n"/>
    </row>
    <row r="102">
      <c r="A102" s="7" t="inlineStr">
        <is>
          <t>H</t>
        </is>
      </c>
      <c r="B102" s="8" t="inlineStr">
        <is>
          <t>23C 실험</t>
        </is>
      </c>
      <c r="C102" s="9" t="inlineStr">
        <is>
          <t>인장강도 실험값</t>
        </is>
      </c>
      <c r="D102" s="10" t="n">
        <v>116.17</v>
      </c>
      <c r="E102" s="7" t="inlineStr">
        <is>
          <t>MPa</t>
        </is>
      </c>
      <c r="F102" s="9" t="inlineStr">
        <is>
          <t>Zhang et al. 2022, Ceram. Int. 48:3109-3124 Table 3</t>
        </is>
      </c>
      <c r="G102" s="11" t="inlineStr">
        <is>
          <t>검증완료</t>
        </is>
      </c>
      <c r="H102" s="9" t="inlineStr">
        <is>
          <t>표준편차 +-8.78</t>
        </is>
      </c>
    </row>
    <row r="103">
      <c r="A103" s="7" t="inlineStr">
        <is>
          <t>H</t>
        </is>
      </c>
      <c r="B103" s="8" t="inlineStr">
        <is>
          <t>23C 해석</t>
        </is>
      </c>
      <c r="C103" s="9" t="inlineStr">
        <is>
          <t>인장강도 논문 해석값</t>
        </is>
      </c>
      <c r="D103" s="10" t="n">
        <v>128.45</v>
      </c>
      <c r="E103" s="7" t="inlineStr">
        <is>
          <t>MPa</t>
        </is>
      </c>
      <c r="F103" s="9" t="inlineStr">
        <is>
          <t>Zhang et al. 2022, Ceram. Int. 48:3109-3124 Table 3</t>
        </is>
      </c>
      <c r="G103" s="11" t="inlineStr">
        <is>
          <t>검증완료</t>
        </is>
      </c>
      <c r="H103" s="9" t="inlineStr">
        <is>
          <t>★XT=421 보정의 목표값. 실험 대비 오차 10.31%</t>
        </is>
      </c>
    </row>
    <row r="104">
      <c r="A104" s="7" t="inlineStr">
        <is>
          <t>H</t>
        </is>
      </c>
      <c r="B104" s="8" t="inlineStr">
        <is>
          <t>500C 실험</t>
        </is>
      </c>
      <c r="C104" s="9" t="inlineStr">
        <is>
          <t>인장강도 실험값</t>
        </is>
      </c>
      <c r="D104" s="10" t="n">
        <v>160.19</v>
      </c>
      <c r="E104" s="7" t="inlineStr">
        <is>
          <t>MPa</t>
        </is>
      </c>
      <c r="F104" s="9" t="inlineStr">
        <is>
          <t>Zhang et al. 2022, Ceram. Int. 48:3109-3124 Table 3</t>
        </is>
      </c>
      <c r="G104" s="11" t="inlineStr">
        <is>
          <t>검증완료</t>
        </is>
      </c>
      <c r="H104" s="9" t="inlineStr">
        <is>
          <t>표준편차 +-14.83</t>
        </is>
      </c>
    </row>
    <row r="105">
      <c r="A105" s="7" t="inlineStr">
        <is>
          <t>H</t>
        </is>
      </c>
      <c r="B105" s="8" t="inlineStr">
        <is>
          <t>500C 해석</t>
        </is>
      </c>
      <c r="C105" s="9" t="inlineStr">
        <is>
          <t>인장강도 논문 해석값</t>
        </is>
      </c>
      <c r="D105" s="10" t="n">
        <v>179.42</v>
      </c>
      <c r="E105" s="7" t="inlineStr">
        <is>
          <t>MPa</t>
        </is>
      </c>
      <c r="F105" s="9" t="inlineStr">
        <is>
          <t>Zhang et al. 2022, Ceram. Int. 48:3109-3124 Table 3</t>
        </is>
      </c>
      <c r="G105" s="11" t="inlineStr">
        <is>
          <t>검증완료</t>
        </is>
      </c>
      <c r="H105" s="9" t="inlineStr">
        <is>
          <t>실험 대비 오차 12.00%</t>
        </is>
      </c>
    </row>
    <row r="106">
      <c r="A106" s="7" t="inlineStr">
        <is>
          <t>H</t>
        </is>
      </c>
      <c r="B106" s="8" t="inlineStr">
        <is>
          <t>1000C 실험</t>
        </is>
      </c>
      <c r="C106" s="9" t="inlineStr">
        <is>
          <t>인장강도 실험값</t>
        </is>
      </c>
      <c r="D106" s="10" t="n">
        <v>173.28</v>
      </c>
      <c r="E106" s="7" t="inlineStr">
        <is>
          <t>MPa</t>
        </is>
      </c>
      <c r="F106" s="9" t="inlineStr">
        <is>
          <t>Zhang et al. 2022, Ceram. Int. 48:3109-3124 Table 3</t>
        </is>
      </c>
      <c r="G106" s="11" t="inlineStr">
        <is>
          <t>검증완료</t>
        </is>
      </c>
      <c r="H106" s="9" t="inlineStr">
        <is>
          <t>표준편차 +-12.94</t>
        </is>
      </c>
    </row>
    <row r="107">
      <c r="A107" s="7" t="inlineStr">
        <is>
          <t>H</t>
        </is>
      </c>
      <c r="B107" s="8" t="inlineStr">
        <is>
          <t>1000C 해석</t>
        </is>
      </c>
      <c r="C107" s="9" t="inlineStr">
        <is>
          <t>인장강도 논문 해석값</t>
        </is>
      </c>
      <c r="D107" s="10" t="n">
        <v>199.15</v>
      </c>
      <c r="E107" s="7" t="inlineStr">
        <is>
          <t>MPa</t>
        </is>
      </c>
      <c r="F107" s="9" t="inlineStr">
        <is>
          <t>Zhang et al. 2022, Ceram. Int. 48:3109-3124 Table 3</t>
        </is>
      </c>
      <c r="G107" s="11" t="inlineStr">
        <is>
          <t>검증완료</t>
        </is>
      </c>
      <c r="H107" s="9" t="inlineStr">
        <is>
          <t>실험 대비 오차 14.93%</t>
        </is>
      </c>
    </row>
  </sheetData>
  <autoFilter ref="A5:H107"/>
  <mergeCells count="8">
    <mergeCell ref="A101:H101"/>
    <mergeCell ref="A95:H95"/>
    <mergeCell ref="A16:H16"/>
    <mergeCell ref="A71:H71"/>
    <mergeCell ref="A33:H33"/>
    <mergeCell ref="A46:H46"/>
    <mergeCell ref="A6:H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26" customWidth="1" min="4" max="4"/>
    <col width="3" customWidth="1" min="5" max="5"/>
    <col width="12" customWidth="1" min="6" max="6"/>
    <col width="18" customWidth="1" min="7" max="7"/>
    <col width="18" customWidth="1" min="8" max="8"/>
    <col width="12" customWidth="1" min="9" max="9"/>
  </cols>
  <sheetData>
    <row r="1">
      <c r="A1" s="18" t="inlineStr">
        <is>
          <t>얀 물성 균질화 재검증 (Chamis 강성 / Schapery·Chamis 열팽창)</t>
        </is>
      </c>
    </row>
    <row r="2">
      <c r="A2" s="19" t="inlineStr">
        <is>
          <t>아래 파란 셀이 입력이다. Vf_tow 를 바꾸면 계산열이 전부 갱신된다.</t>
        </is>
      </c>
    </row>
    <row r="4">
      <c r="A4" s="20" t="inlineStr">
        <is>
          <t>입력값</t>
        </is>
      </c>
      <c r="F4" s="20" t="inlineStr">
        <is>
          <t>계산 결과 vs UMAT 카드 값</t>
        </is>
      </c>
    </row>
    <row r="5">
      <c r="A5" s="21" t="inlineStr">
        <is>
          <t>기호</t>
        </is>
      </c>
      <c r="B5" s="21" t="inlineStr">
        <is>
          <t>값</t>
        </is>
      </c>
      <c r="C5" s="21" t="inlineStr">
        <is>
          <t>단위</t>
        </is>
      </c>
      <c r="D5" s="21" t="inlineStr">
        <is>
          <t>출처</t>
        </is>
      </c>
      <c r="F5" s="21" t="inlineStr">
        <is>
          <t>물성</t>
        </is>
      </c>
      <c r="G5" s="21" t="inlineStr">
        <is>
          <t>식으로 계산</t>
        </is>
      </c>
      <c r="H5" s="21" t="inlineStr">
        <is>
          <t>UMAT 카드값</t>
        </is>
      </c>
      <c r="I5" s="21" t="inlineStr">
        <is>
          <t>오차 %</t>
        </is>
      </c>
    </row>
    <row r="6">
      <c r="A6" s="22" t="inlineStr">
        <is>
          <t>Ef1</t>
        </is>
      </c>
      <c r="B6" s="23" t="n">
        <v>230000</v>
      </c>
      <c r="C6" s="24" t="inlineStr">
        <is>
          <t>MPa</t>
        </is>
      </c>
      <c r="D6" s="22" t="inlineStr">
        <is>
          <t>논문 Table 1</t>
        </is>
      </c>
      <c r="F6" s="25" t="inlineStr">
        <is>
          <t>Ey1</t>
        </is>
      </c>
      <c r="G6" s="26">
        <f>B16*B6+(1-B16)*B13</f>
        <v/>
      </c>
      <c r="H6" s="26" t="n">
        <v>254967.228042</v>
      </c>
      <c r="I6" s="27">
        <f>IFERROR((G6/H6-1)*100,"")</f>
        <v/>
      </c>
    </row>
    <row r="7">
      <c r="A7" s="22" t="inlineStr">
        <is>
          <t>Ef2</t>
        </is>
      </c>
      <c r="B7" s="23" t="n">
        <v>40000</v>
      </c>
      <c r="C7" s="24" t="inlineStr">
        <is>
          <t>MPa</t>
        </is>
      </c>
      <c r="D7" s="22" t="inlineStr">
        <is>
          <t>논문 Table 1</t>
        </is>
      </c>
      <c r="F7" s="25" t="inlineStr">
        <is>
          <t>Ey2</t>
        </is>
      </c>
      <c r="G7" s="26">
        <f>B13/(1-SQRT(B16)*(1-B13/B7))</f>
        <v/>
      </c>
      <c r="H7" s="26" t="n">
        <v>44321.737572</v>
      </c>
      <c r="I7" s="27">
        <f>IFERROR((G7/H7-1)*100,"")</f>
        <v/>
      </c>
    </row>
    <row r="8">
      <c r="A8" s="22" t="inlineStr">
        <is>
          <t>Gf12</t>
        </is>
      </c>
      <c r="B8" s="23" t="n">
        <v>24000</v>
      </c>
      <c r="C8" s="24" t="inlineStr">
        <is>
          <t>MPa</t>
        </is>
      </c>
      <c r="D8" s="22" t="inlineStr">
        <is>
          <t>논문 Table 1</t>
        </is>
      </c>
      <c r="F8" s="25" t="inlineStr">
        <is>
          <t>Gy12</t>
        </is>
      </c>
      <c r="G8" s="26">
        <f>(B13/(2*(1+B14)))/(1-SQRT(B16)*(1-(B13/(2*(1+B14)))/B8))</f>
        <v/>
      </c>
      <c r="H8" s="26" t="n">
        <v>26431.515264</v>
      </c>
      <c r="I8" s="27">
        <f>IFERROR((G8/H8-1)*100,"")</f>
        <v/>
      </c>
    </row>
    <row r="9">
      <c r="A9" s="22" t="inlineStr">
        <is>
          <t>Gf23</t>
        </is>
      </c>
      <c r="B9" s="23" t="n">
        <v>14300</v>
      </c>
      <c r="C9" s="24" t="inlineStr">
        <is>
          <t>MPa</t>
        </is>
      </c>
      <c r="D9" s="22" t="inlineStr">
        <is>
          <t>논문 Table 1</t>
        </is>
      </c>
      <c r="F9" s="25" t="inlineStr">
        <is>
          <t>Gy23</t>
        </is>
      </c>
      <c r="G9" s="26">
        <f>(B13/(2*(1+B14)))/(1-SQRT(B16)*(1-(B13/(2*(1+B14)))/B9))</f>
        <v/>
      </c>
      <c r="H9" s="26" t="n">
        <v>15876.667974</v>
      </c>
      <c r="I9" s="27">
        <f>IFERROR((G9/H9-1)*100,"")</f>
        <v/>
      </c>
    </row>
    <row r="10">
      <c r="A10" s="22" t="inlineStr">
        <is>
          <t>nu_f12</t>
        </is>
      </c>
      <c r="B10" s="23" t="n">
        <v>0.26</v>
      </c>
      <c r="C10" s="24" t="inlineStr">
        <is>
          <t>-</t>
        </is>
      </c>
      <c r="D10" s="22" t="inlineStr">
        <is>
          <t>논문 Table 1</t>
        </is>
      </c>
      <c r="F10" s="25" t="inlineStr">
        <is>
          <t>nu_y12</t>
        </is>
      </c>
      <c r="G10" s="26">
        <f>B16*B10+(1-B16)*B14</f>
        <v/>
      </c>
      <c r="H10" s="26" t="n">
        <v>0.247516386</v>
      </c>
      <c r="I10" s="27">
        <f>IFERROR((G10/H10-1)*100,"")</f>
        <v/>
      </c>
    </row>
    <row r="11">
      <c r="A11" s="22" t="inlineStr">
        <is>
          <t>alpha_f1</t>
        </is>
      </c>
      <c r="B11" s="28" t="n">
        <v>-3e-07</v>
      </c>
      <c r="C11" s="24" t="inlineStr">
        <is>
          <t>1/K</t>
        </is>
      </c>
      <c r="D11" s="22" t="inlineStr">
        <is>
          <t>논문 Table 1</t>
        </is>
      </c>
      <c r="F11" s="25" t="inlineStr">
        <is>
          <t>nu_y23</t>
        </is>
      </c>
      <c r="G11" s="26">
        <f>G7/(2*G9)-1</f>
        <v/>
      </c>
      <c r="H11" s="26" t="n">
        <v>0.395813581</v>
      </c>
      <c r="I11" s="27">
        <f>IFERROR((G11/H11-1)*100,"")</f>
        <v/>
      </c>
    </row>
    <row r="12">
      <c r="A12" s="22" t="inlineStr">
        <is>
          <t>alpha_f2</t>
        </is>
      </c>
      <c r="B12" s="28" t="n">
        <v>3.1e-06</v>
      </c>
      <c r="C12" s="24" t="inlineStr">
        <is>
          <t>1/K</t>
        </is>
      </c>
      <c r="D12" s="22" t="inlineStr">
        <is>
          <t>논문 Table 1</t>
        </is>
      </c>
      <c r="F12" s="25" t="inlineStr">
        <is>
          <t>alpha_y1</t>
        </is>
      </c>
      <c r="G12" s="29">
        <f>(B16*B6*B11+(1-B16)*B13*B15)/(B16*B6+(1-B16)*B13)</f>
        <v/>
      </c>
      <c r="H12" s="29" t="n">
        <v>1.070925962822e-06</v>
      </c>
      <c r="I12" s="27">
        <f>IFERROR((G12/H12-1)*100,"")</f>
        <v/>
      </c>
    </row>
    <row r="13">
      <c r="A13" s="22" t="inlineStr">
        <is>
          <t>Em</t>
        </is>
      </c>
      <c r="B13" s="23" t="n">
        <v>350000</v>
      </c>
      <c r="C13" s="24" t="inlineStr">
        <is>
          <t>MPa</t>
        </is>
      </c>
      <c r="D13" s="22" t="inlineStr">
        <is>
          <t>논문 Table 2</t>
        </is>
      </c>
      <c r="F13" s="25" t="inlineStr">
        <is>
          <t>alpha_y2</t>
        </is>
      </c>
      <c r="G13" s="29">
        <f>B12*SQRT(B16)+(1-SQRT(B16))*(1+B16*B14*B6/G6)*B15</f>
        <v/>
      </c>
      <c r="H13" s="29" t="n">
        <v>3.324908565604e-06</v>
      </c>
      <c r="I13" s="27">
        <f>IFERROR((G13/H13-1)*100,"")</f>
        <v/>
      </c>
    </row>
    <row r="14">
      <c r="A14" s="22" t="inlineStr">
        <is>
          <t>nu_m</t>
        </is>
      </c>
      <c r="B14" s="23" t="n">
        <v>0.2</v>
      </c>
      <c r="C14" s="24" t="inlineStr">
        <is>
          <t>-</t>
        </is>
      </c>
      <c r="D14" s="22" t="inlineStr">
        <is>
          <t>논문 Table 2</t>
        </is>
      </c>
    </row>
    <row r="15">
      <c r="A15" s="22" t="inlineStr">
        <is>
          <t>alpha_m</t>
        </is>
      </c>
      <c r="B15" s="28" t="n">
        <v>4.5e-06</v>
      </c>
      <c r="C15" s="24" t="inlineStr">
        <is>
          <t>1/K</t>
        </is>
      </c>
      <c r="D15" s="22" t="inlineStr">
        <is>
          <t>논문 Table 2</t>
        </is>
      </c>
      <c r="F15" s="30" t="inlineStr">
        <is>
          <t>판정</t>
        </is>
      </c>
      <c r="G15" s="31">
        <f>IF(SUMPRODUCT(MAX(ABS(I6:I13)))&lt;0.01,"전 항목 오차 0.01% 미만 - 균질화 검증 통과","오차 초과 항목 있음 - 확인 필요")</f>
        <v/>
      </c>
    </row>
    <row r="16">
      <c r="A16" s="22" t="inlineStr">
        <is>
          <t>Vf_tow</t>
        </is>
      </c>
      <c r="B16" s="23" t="n">
        <v>0.79194</v>
      </c>
      <c r="C16" s="24" t="inlineStr">
        <is>
          <t>-</t>
        </is>
      </c>
      <c r="D16" s="22" t="inlineStr">
        <is>
          <t>역산 (논문 미기재)</t>
        </is>
      </c>
    </row>
    <row r="17">
      <c r="F17" s="30" t="inlineStr">
        <is>
          <t>참고: Chamis 이론 얀 인장강도</t>
        </is>
      </c>
      <c r="G17" s="32">
        <f>B16*3580</f>
        <v/>
      </c>
      <c r="H17" t="inlineStr">
        <is>
          <t>MPa</t>
        </is>
      </c>
      <c r="I17" s="33">
        <f>421/G17*100</f>
        <v/>
      </c>
      <c r="J17" s="19" t="inlineStr">
        <is>
          <t>&lt;- 현재 보정값 421 MPa 이 Chamis 이론값에서 차지하는 비율</t>
        </is>
      </c>
    </row>
  </sheetData>
  <mergeCells count="1">
    <mergeCell ref="G15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40" customWidth="1" min="3" max="3"/>
  </cols>
  <sheetData>
    <row r="1">
      <c r="A1" s="18" t="inlineStr">
        <is>
          <t>검증 상태 요약</t>
        </is>
      </c>
    </row>
    <row r="3">
      <c r="A3" s="21" t="inlineStr">
        <is>
          <t>상태</t>
        </is>
      </c>
      <c r="B3" s="21" t="inlineStr">
        <is>
          <t>개수</t>
        </is>
      </c>
      <c r="C3" s="21" t="inlineStr">
        <is>
          <t>의미</t>
        </is>
      </c>
    </row>
    <row r="4">
      <c r="A4" s="34" t="inlineStr">
        <is>
          <t>검증완료</t>
        </is>
      </c>
      <c r="B4" s="24">
        <f>COUNTIF(물성전체!$G$6:$G$107,A4)</f>
        <v/>
      </c>
      <c r="C4" s="9" t="inlineStr">
        <is>
          <t>논문 직접 인용, 또는 유도 후 수치 재검증 완료. 그대로 사용 가능</t>
        </is>
      </c>
    </row>
    <row r="5">
      <c r="A5" s="35" t="inlineStr">
        <is>
          <t>보정값</t>
        </is>
      </c>
      <c r="B5" s="24">
        <f>COUNTIF(물성전체!$G$6:$G$107,A5)</f>
        <v/>
      </c>
      <c r="C5" s="9" t="inlineStr">
        <is>
          <t>논문에 값이 없어 Table 3 결과에 맞춰 역보정. 재현이 아닌 보정임을 논문에 명시 필요</t>
        </is>
      </c>
    </row>
    <row r="6">
      <c r="A6" s="36" t="inlineStr">
        <is>
          <t>임시값</t>
        </is>
      </c>
      <c r="B6" s="24">
        <f>COUNTIF(물성전체!$G$6:$G$107,A6)</f>
        <v/>
      </c>
      <c r="C6" s="9" t="inlineStr">
        <is>
          <t>논문에 값이 없고 아직 보정도 안 됨. 결과 민감도 확인 필요</t>
        </is>
      </c>
    </row>
    <row r="7">
      <c r="A7" s="37" t="inlineStr">
        <is>
          <t>수치설정</t>
        </is>
      </c>
      <c r="B7" s="24">
        <f>COUNTIF(물성전체!$G$6:$G$107,A7)</f>
        <v/>
      </c>
      <c r="C7" s="9" t="inlineStr">
        <is>
          <t>물성이 아닌 수치해석 파라미터. 물리적 의미 없음</t>
        </is>
      </c>
    </row>
    <row r="8">
      <c r="A8" s="38" t="inlineStr">
        <is>
          <t>미검증</t>
        </is>
      </c>
      <c r="B8" s="24">
        <f>COUNTIF(물성전체!$G$6:$G$107,A8)</f>
        <v/>
      </c>
      <c r="C8" s="9" t="inlineStr">
        <is>
          <t>논문과 다르게 설정했고 영향을 아직 확인 못 함</t>
        </is>
      </c>
    </row>
    <row r="9">
      <c r="A9" s="25" t="inlineStr">
        <is>
          <t>합계</t>
        </is>
      </c>
      <c r="B9" s="39">
        <f>SUM(B4:B8)</f>
        <v/>
      </c>
      <c r="C9" s="6" t="n"/>
    </row>
    <row r="12">
      <c r="A12" s="40" t="inlineStr">
        <is>
          <t>우선 처리 대상</t>
        </is>
      </c>
    </row>
    <row r="13">
      <c r="A13" s="21" t="inlineStr">
        <is>
          <t>항목</t>
        </is>
      </c>
      <c r="B13" s="21" t="inlineStr">
        <is>
          <t>내용</t>
        </is>
      </c>
      <c r="C13" s="41" t="n"/>
    </row>
    <row r="14" ht="30" customHeight="1">
      <c r="A14" s="25" t="inlineStr">
        <is>
          <t>얀 PROPS 18 A1T</t>
        </is>
      </c>
      <c r="B14" s="9" t="inlineStr">
        <is>
          <t>얀 축방향에 크랙밴드(Gf) 정규화가 없어 eta·메쉬 의존성의 근본 원인. eta 반감당 최대응력 4% 변동, 수렴점 없음. UMAT 수정 필요</t>
        </is>
      </c>
      <c r="C14" s="41" t="n"/>
    </row>
    <row r="15" ht="30" customHeight="1">
      <c r="A15" s="25" t="inlineStr">
        <is>
          <t>얀 PROPS 11 XT</t>
        </is>
      </c>
      <c r="B15" s="9" t="inlineStr">
        <is>
          <t>보정값 421 MPa 은 Chamis 이론값의 14.8%. 논문에 없는 값을 역보정한 것이므로 "재현"이 아니라 "보정"임을 반드시 명시</t>
        </is>
      </c>
      <c r="C15" s="41" t="n"/>
    </row>
    <row r="16" ht="30" customHeight="1">
      <c r="A16" s="25" t="inlineStr">
        <is>
          <t>얀 PROPS 13 YT</t>
        </is>
      </c>
      <c r="B16" s="9" t="inlineStr">
        <is>
          <t>횡방향 손상률(모델 88~93% vs 논문 99%)을 좌우하는데 미보정</t>
        </is>
      </c>
      <c r="C16" s="41" t="n"/>
    </row>
    <row r="17" ht="30" customHeight="1">
      <c r="A17" s="25" t="inlineStr">
        <is>
          <t>기지 PROPS 8/9 DMAX</t>
        </is>
      </c>
      <c r="B17" s="9" t="inlineStr">
        <is>
          <t>손상 상한 때문에 잔류강성이 남아 최대점 이후 응력이 비물리적으로 재상승</t>
        </is>
      </c>
      <c r="C17" s="41" t="n"/>
    </row>
    <row r="18" ht="30" customHeight="1">
      <c r="A18" s="25" t="inlineStr">
        <is>
          <t>C. 요소 개수</t>
        </is>
      </c>
      <c r="B18" s="9" t="inlineStr">
        <is>
          <t>174,405개 (논문 116,724개). 메쉬 수렴성 미검증. 단 얀 정규화가 없으면 수렴점 자체가 존재하지 않음</t>
        </is>
      </c>
      <c r="C18" s="41" t="n"/>
    </row>
    <row r="19" ht="30" customHeight="1">
      <c r="A19" s="25" t="inlineStr">
        <is>
          <t>C. RVE 두께</t>
        </is>
      </c>
      <c r="B19" s="9" t="inlineStr">
        <is>
          <t>0.44 mm (논문 0.4334 mm). 1.5% 차이, 영향 미확인</t>
        </is>
      </c>
      <c r="C19" s="41" t="n"/>
    </row>
  </sheetData>
  <mergeCells count="7">
    <mergeCell ref="B13:C13"/>
    <mergeCell ref="B16:C16"/>
    <mergeCell ref="B15:C15"/>
    <mergeCell ref="B19:C19"/>
    <mergeCell ref="B14:C14"/>
    <mergeCell ref="B17:C1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2026-08-03T06:36:22Z</dcterms:created>
  <dcterms:modified xsi:type="dcterms:W3CDTF">2026-08-03T06:36:22Z</dcterms:modified>
</cp:coreProperties>
</file>